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Ecommerce_Consumer_Behavior_A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<sst xmlns="http://schemas.openxmlformats.org/spreadsheetml/2006/main" count="15174" uniqueCount="1198">
  <si>
    <t>Customer_ID</t>
  </si>
  <si>
    <t>Age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</si>
  <si>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</si>
  <si>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</si>
  <si>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</si>
  <si>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</si>
  <si>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</si>
  <si>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</si>
  <si>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</si>
  <si>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</si>
  <si>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</si>
  <si>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</si>
  <si>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</si>
  <si>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</si>
  <si>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</si>
  <si>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</si>
  <si>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</si>
  <si>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</si>
  <si>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</si>
  <si>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</si>
  <si>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</si>
  <si>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</si>
  <si>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</si>
  <si>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</si>
  <si>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</si>
  <si>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</si>
  <si>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</si>
  <si>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</si>
  <si>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Married_Marital_percentage</t>
  </si>
  <si>
    <t>Single_Marital_percentage</t>
  </si>
  <si>
    <t>Widowed_Marital_percentage</t>
  </si>
  <si>
    <t>Divorced_Marital_percentage</t>
  </si>
  <si>
    <t>Bachelor's_Education_percentage</t>
  </si>
  <si>
    <t>High School_Education_percentage</t>
  </si>
  <si>
    <t>Master's_Education_percentage</t>
  </si>
  <si>
    <t>Middle_Occupation_percentage</t>
  </si>
  <si>
    <t>High_Occupation_percentage</t>
  </si>
  <si>
    <t>Unique_Purchase_category</t>
  </si>
  <si>
    <t>Customer_records</t>
  </si>
  <si>
    <t>Percentage</t>
  </si>
  <si>
    <t>Age_group</t>
  </si>
  <si>
    <t>Unique_age_group</t>
  </si>
  <si>
    <t>Total_purchase_amount</t>
  </si>
  <si>
    <t>Unique_brand_loylity</t>
  </si>
  <si>
    <t>Brand Loyality Vs Purchase Product</t>
  </si>
  <si>
    <t>Social_Media</t>
  </si>
  <si>
    <t>Social Media Vs Time Spent(HH)</t>
  </si>
  <si>
    <t>Avg_product_rating</t>
  </si>
  <si>
    <t>Avg_return_rate</t>
  </si>
  <si>
    <t>Purchase_Channel vs Product_Rating vs Return_Rate</t>
  </si>
  <si>
    <t>Gender vs Time_decision</t>
  </si>
  <si>
    <t>Top_Buying_Customer</t>
  </si>
  <si>
    <t>Customer_value_score</t>
  </si>
  <si>
    <t>Purchase_amount_occupation</t>
  </si>
  <si>
    <t>Correlation Analysis</t>
  </si>
  <si>
    <t>Outlier Identification</t>
  </si>
  <si>
    <t>Discount_Impact_ratio</t>
  </si>
  <si>
    <t>RFM Analysis</t>
  </si>
  <si>
    <t>Pareto Analysis</t>
  </si>
  <si>
    <t>Female</t>
  </si>
  <si>
    <t>Middle</t>
  </si>
  <si>
    <t>Married</t>
  </si>
  <si>
    <t>Bachelor's</t>
  </si>
  <si>
    <t>Évry</t>
  </si>
  <si>
    <t>Gardening &amp; Outdoors</t>
  </si>
  <si>
    <t>Mixed</t>
  </si>
  <si>
    <t>None</t>
  </si>
  <si>
    <t>Somewhat Sensitive</t>
  </si>
  <si>
    <t>Tablet</t>
  </si>
  <si>
    <t>Credit Card</t>
  </si>
  <si>
    <t>Need-based</t>
  </si>
  <si>
    <t>No Preference</t>
  </si>
  <si>
    <t xml:space="preserve">Mixed </t>
  </si>
  <si>
    <t>Male</t>
  </si>
  <si>
    <t>High</t>
  </si>
  <si>
    <t>High School</t>
  </si>
  <si>
    <t>Huocheng</t>
  </si>
  <si>
    <t>Food &amp; Beverages</t>
  </si>
  <si>
    <t>In-Store</t>
  </si>
  <si>
    <t>Medium</t>
  </si>
  <si>
    <t>Not Sensitive</t>
  </si>
  <si>
    <t>PayPal</t>
  </si>
  <si>
    <t>Wants-based</t>
  </si>
  <si>
    <t>Standard</t>
  </si>
  <si>
    <t>Low</t>
  </si>
  <si>
    <t>Online</t>
  </si>
  <si>
    <t>Single</t>
  </si>
  <si>
    <t>Master's</t>
  </si>
  <si>
    <t>Huzhen</t>
  </si>
  <si>
    <t>Office Supplies</t>
  </si>
  <si>
    <t>Smartphone</t>
  </si>
  <si>
    <t>Debit Card</t>
  </si>
  <si>
    <t>Impulsive</t>
  </si>
  <si>
    <t>In Store</t>
  </si>
  <si>
    <t>Wiwilí</t>
  </si>
  <si>
    <t>Home Appliances</t>
  </si>
  <si>
    <t>Other</t>
  </si>
  <si>
    <t>Express</t>
  </si>
  <si>
    <t>Widowed</t>
  </si>
  <si>
    <t>Nara</t>
  </si>
  <si>
    <t>Furniture</t>
  </si>
  <si>
    <t>Boro Utara</t>
  </si>
  <si>
    <t>Planned</t>
  </si>
  <si>
    <t>Divorced</t>
  </si>
  <si>
    <t>Liren</t>
  </si>
  <si>
    <t>Desktop</t>
  </si>
  <si>
    <t>Taocheng</t>
  </si>
  <si>
    <t>Books</t>
  </si>
  <si>
    <t>Gråbo</t>
  </si>
  <si>
    <t>Very Sensitive</t>
  </si>
  <si>
    <t>Cash</t>
  </si>
  <si>
    <t>Bigender</t>
  </si>
  <si>
    <t>Pryamitsyno</t>
  </si>
  <si>
    <t>Sports &amp; Outdoors</t>
  </si>
  <si>
    <t>Punta Gorda</t>
  </si>
  <si>
    <t>Mobile Accessories</t>
  </si>
  <si>
    <t>Győr</t>
  </si>
  <si>
    <t>Gaosheng</t>
  </si>
  <si>
    <t>Luxury Goods</t>
  </si>
  <si>
    <t>Rokytne</t>
  </si>
  <si>
    <t>Animal Feed</t>
  </si>
  <si>
    <t>Alameda</t>
  </si>
  <si>
    <t>Health Care</t>
  </si>
  <si>
    <t>Dhankutā</t>
  </si>
  <si>
    <t>Hotels</t>
  </si>
  <si>
    <t>Jindong</t>
  </si>
  <si>
    <t>Ngeru</t>
  </si>
  <si>
    <t>004779449</t>
  </si>
  <si>
    <t>White Rock</t>
  </si>
  <si>
    <t>Packages)</t>
  </si>
  <si>
    <t>Monastyrshchina</t>
  </si>
  <si>
    <t>Electronics</t>
  </si>
  <si>
    <t>Pangkalanbunut</t>
  </si>
  <si>
    <t>Software &amp; Apps</t>
  </si>
  <si>
    <t>Lederaba</t>
  </si>
  <si>
    <t>Baby Products</t>
  </si>
  <si>
    <t>Lugo</t>
  </si>
  <si>
    <t>Toys &amp; Games</t>
  </si>
  <si>
    <t>São Roque</t>
  </si>
  <si>
    <t>043496759</t>
  </si>
  <si>
    <t>Banī Khaddāsh</t>
  </si>
  <si>
    <t>Montpellier</t>
  </si>
  <si>
    <t>Nesovice</t>
  </si>
  <si>
    <t>Arts &amp; Crafts</t>
  </si>
  <si>
    <t>Pasirhuni</t>
  </si>
  <si>
    <t>Glendale</t>
  </si>
  <si>
    <t>Tála</t>
  </si>
  <si>
    <t>Health Supplements</t>
  </si>
  <si>
    <t>Marseille</t>
  </si>
  <si>
    <t>Nasielsk</t>
  </si>
  <si>
    <t>Genderfluid</t>
  </si>
  <si>
    <t>Paris 06</t>
  </si>
  <si>
    <t>Bronnitsy</t>
  </si>
  <si>
    <t>Inayauan</t>
  </si>
  <si>
    <t>Qianjin</t>
  </si>
  <si>
    <t>Bagahanlad</t>
  </si>
  <si>
    <t>Groceries</t>
  </si>
  <si>
    <t>Rzewnie</t>
  </si>
  <si>
    <t>039506074</t>
  </si>
  <si>
    <t>Strabychovo</t>
  </si>
  <si>
    <t>Hongqi</t>
  </si>
  <si>
    <t>Oeoh</t>
  </si>
  <si>
    <t>078162673</t>
  </si>
  <si>
    <t>Topol’noye</t>
  </si>
  <si>
    <t>Kovářov</t>
  </si>
  <si>
    <t>Majdal Banī Fāḑil</t>
  </si>
  <si>
    <t>Delta del Tigre</t>
  </si>
  <si>
    <t>Santa Cruz La Laguna</t>
  </si>
  <si>
    <t>Manchester</t>
  </si>
  <si>
    <t>Norrköping</t>
  </si>
  <si>
    <t>Sośno</t>
  </si>
  <si>
    <t>Clothing</t>
  </si>
  <si>
    <t>Pélla</t>
  </si>
  <si>
    <t>Namur</t>
  </si>
  <si>
    <t>Beauty &amp; Personal Care</t>
  </si>
  <si>
    <t>Non-binary</t>
  </si>
  <si>
    <t>Benevides</t>
  </si>
  <si>
    <t>Qinghaihu</t>
  </si>
  <si>
    <t>Travel &amp; Leisure (Flights</t>
  </si>
  <si>
    <t>Alfeizerão</t>
  </si>
  <si>
    <t>Prostřední Bečva</t>
  </si>
  <si>
    <t>Oeiras</t>
  </si>
  <si>
    <t>074793919</t>
  </si>
  <si>
    <t>Kýthnos</t>
  </si>
  <si>
    <t>Rizal</t>
  </si>
  <si>
    <t>Fullerton</t>
  </si>
  <si>
    <t>Huaidao</t>
  </si>
  <si>
    <t>Bilice</t>
  </si>
  <si>
    <t>Polygender</t>
  </si>
  <si>
    <t>Isla Verde</t>
  </si>
  <si>
    <t>Hunkuyi</t>
  </si>
  <si>
    <t>Shiree</t>
  </si>
  <si>
    <t>Strezhevoy</t>
  </si>
  <si>
    <t>Longxing</t>
  </si>
  <si>
    <t>093464992</t>
  </si>
  <si>
    <t>Jesús Menéndez</t>
  </si>
  <si>
    <t>Hongguang</t>
  </si>
  <si>
    <t>Pilaya</t>
  </si>
  <si>
    <t>Camp Ithier</t>
  </si>
  <si>
    <t>070244995</t>
  </si>
  <si>
    <t>Holboo</t>
  </si>
  <si>
    <t>Luxi</t>
  </si>
  <si>
    <t>Ostashkov</t>
  </si>
  <si>
    <t>Hongshanzui</t>
  </si>
  <si>
    <t>Tocoa</t>
  </si>
  <si>
    <t>Bayan Tuohai</t>
  </si>
  <si>
    <t>Parumasan</t>
  </si>
  <si>
    <t>044651819</t>
  </si>
  <si>
    <t>Karpogory</t>
  </si>
  <si>
    <t>Jewelry &amp; Accessories</t>
  </si>
  <si>
    <t>Shāhzādpur</t>
  </si>
  <si>
    <t>Muaratiga</t>
  </si>
  <si>
    <t>054658765</t>
  </si>
  <si>
    <t>Gjegjan</t>
  </si>
  <si>
    <t>Créteil</t>
  </si>
  <si>
    <t>Pameungpeuk</t>
  </si>
  <si>
    <t>Junshan</t>
  </si>
  <si>
    <t>Lewotola</t>
  </si>
  <si>
    <t>Laocheng</t>
  </si>
  <si>
    <t>Guacarí</t>
  </si>
  <si>
    <t>Sancang</t>
  </si>
  <si>
    <t>Ndewel</t>
  </si>
  <si>
    <t>San Patricio</t>
  </si>
  <si>
    <t>Fengtai</t>
  </si>
  <si>
    <t>Agender</t>
  </si>
  <si>
    <t>Ḑawrān ad Daydah</t>
  </si>
  <si>
    <t>Magdalena</t>
  </si>
  <si>
    <t>092161957</t>
  </si>
  <si>
    <t>Leśnica</t>
  </si>
  <si>
    <t>Hinlayagan Ilaud</t>
  </si>
  <si>
    <t>Forshaga</t>
  </si>
  <si>
    <t>058571572</t>
  </si>
  <si>
    <t>Rakszawa</t>
  </si>
  <si>
    <t>Fengjiang</t>
  </si>
  <si>
    <t>Jiangcun</t>
  </si>
  <si>
    <t>Ōkuchi</t>
  </si>
  <si>
    <t>Novoukrainskiy</t>
  </si>
  <si>
    <t>Acobambilla</t>
  </si>
  <si>
    <t>Kyonju</t>
  </si>
  <si>
    <t>Pomar</t>
  </si>
  <si>
    <t>026535884</t>
  </si>
  <si>
    <t>Zalţan</t>
  </si>
  <si>
    <t>Trélazé</t>
  </si>
  <si>
    <t>Messina</t>
  </si>
  <si>
    <t>Mrągowo</t>
  </si>
  <si>
    <t>Ngawi</t>
  </si>
  <si>
    <t>087330300</t>
  </si>
  <si>
    <t>Oslo</t>
  </si>
  <si>
    <t>Dobrica</t>
  </si>
  <si>
    <t>La Roche-sur-Yon</t>
  </si>
  <si>
    <t>Point Pedro</t>
  </si>
  <si>
    <t>Tianbao</t>
  </si>
  <si>
    <t>045639091</t>
  </si>
  <si>
    <t>Puqian</t>
  </si>
  <si>
    <t>Binalbagan</t>
  </si>
  <si>
    <t>Tessalit</t>
  </si>
  <si>
    <t>Nikolayevsk</t>
  </si>
  <si>
    <t>Dashuipo</t>
  </si>
  <si>
    <t>Týn nad Vltavou</t>
  </si>
  <si>
    <t>Kaum Kaler</t>
  </si>
  <si>
    <t>Gandapura</t>
  </si>
  <si>
    <t>Kawangkoan</t>
  </si>
  <si>
    <t>Mondorf-les-Bains</t>
  </si>
  <si>
    <t>Manwakh</t>
  </si>
  <si>
    <t>Karlstad</t>
  </si>
  <si>
    <t>Obong</t>
  </si>
  <si>
    <t>Kolsko</t>
  </si>
  <si>
    <t>Dālbandīn</t>
  </si>
  <si>
    <t>Genderqueer</t>
  </si>
  <si>
    <t>Shazi</t>
  </si>
  <si>
    <t>Hachiōji</t>
  </si>
  <si>
    <t>Jolo</t>
  </si>
  <si>
    <t>Pedra Azul</t>
  </si>
  <si>
    <t>Gustavsberg</t>
  </si>
  <si>
    <t>La Mohammedia</t>
  </si>
  <si>
    <t>Florida</t>
  </si>
  <si>
    <t>Zhongcheng</t>
  </si>
  <si>
    <t>Goiatuba</t>
  </si>
  <si>
    <t>Krajan Kidul Rojopolo</t>
  </si>
  <si>
    <t>Metchosin</t>
  </si>
  <si>
    <t>Staritsa</t>
  </si>
  <si>
    <t>Benito Juarez</t>
  </si>
  <si>
    <t>Maní</t>
  </si>
  <si>
    <t>Vitali</t>
  </si>
  <si>
    <t>Mizque</t>
  </si>
  <si>
    <t>Zgornje Pirniče</t>
  </si>
  <si>
    <t>Cipolletti</t>
  </si>
  <si>
    <t>Sollefteå</t>
  </si>
  <si>
    <t>Klonowa</t>
  </si>
  <si>
    <t>Suvorov</t>
  </si>
  <si>
    <t>Dragash</t>
  </si>
  <si>
    <t>Freiburg im Breisgau</t>
  </si>
  <si>
    <t>Macau</t>
  </si>
  <si>
    <t>Pancas</t>
  </si>
  <si>
    <t>Dayapan</t>
  </si>
  <si>
    <t>Gordon Town</t>
  </si>
  <si>
    <t>Proptisht</t>
  </si>
  <si>
    <t>Kamal</t>
  </si>
  <si>
    <t>Kouvola</t>
  </si>
  <si>
    <t>Zhongdong</t>
  </si>
  <si>
    <t>Betong</t>
  </si>
  <si>
    <t>Jinping</t>
  </si>
  <si>
    <t>Mgachi</t>
  </si>
  <si>
    <t>Lameira</t>
  </si>
  <si>
    <t>Medicine Hat</t>
  </si>
  <si>
    <t>004963067</t>
  </si>
  <si>
    <t>Yeniköy</t>
  </si>
  <si>
    <t>Peer</t>
  </si>
  <si>
    <t>Belūsovka</t>
  </si>
  <si>
    <t>Houston</t>
  </si>
  <si>
    <t>Hengdian</t>
  </si>
  <si>
    <t>Shuigou</t>
  </si>
  <si>
    <t>Xingxi</t>
  </si>
  <si>
    <t>Dhībīn</t>
  </si>
  <si>
    <t>Chengguan</t>
  </si>
  <si>
    <t>Paris 09</t>
  </si>
  <si>
    <t>Rozhdestveno</t>
  </si>
  <si>
    <t>Porangatu</t>
  </si>
  <si>
    <t>Shalkar</t>
  </si>
  <si>
    <t>Quimbaya</t>
  </si>
  <si>
    <t>007338770</t>
  </si>
  <si>
    <t>Narok</t>
  </si>
  <si>
    <t>Gimcheon</t>
  </si>
  <si>
    <t>Visaginas</t>
  </si>
  <si>
    <t>Shostka</t>
  </si>
  <si>
    <t>Pukekohe East</t>
  </si>
  <si>
    <t>Blokdesa Situgede</t>
  </si>
  <si>
    <t>Yueyang</t>
  </si>
  <si>
    <t>Liutan</t>
  </si>
  <si>
    <t>Huanggang</t>
  </si>
  <si>
    <t>Baturité</t>
  </si>
  <si>
    <t>Mi’ersi</t>
  </si>
  <si>
    <t>Xuedian</t>
  </si>
  <si>
    <t>Yuyapichis</t>
  </si>
  <si>
    <t>Shiroishi</t>
  </si>
  <si>
    <t>Kobe</t>
  </si>
  <si>
    <t>Gulou</t>
  </si>
  <si>
    <t>Jilin</t>
  </si>
  <si>
    <t>Balboa</t>
  </si>
  <si>
    <t>Cipari</t>
  </si>
  <si>
    <t>Orlando</t>
  </si>
  <si>
    <t>Torsby</t>
  </si>
  <si>
    <t>San Pablo</t>
  </si>
  <si>
    <t>Daszewice</t>
  </si>
  <si>
    <t>Villa Concepción del Tío</t>
  </si>
  <si>
    <t>Hacienda La Calera</t>
  </si>
  <si>
    <t>046097885</t>
  </si>
  <si>
    <t>Puerto López</t>
  </si>
  <si>
    <t>Xinchengzi</t>
  </si>
  <si>
    <t>Tecpán Guatemala</t>
  </si>
  <si>
    <t>Araci</t>
  </si>
  <si>
    <t>Duyure</t>
  </si>
  <si>
    <t>Huangni</t>
  </si>
  <si>
    <t>Kuala Lumpur</t>
  </si>
  <si>
    <t>Seleuš</t>
  </si>
  <si>
    <t>Monrovia</t>
  </si>
  <si>
    <t>Kristinehamn</t>
  </si>
  <si>
    <t>036236767</t>
  </si>
  <si>
    <t>Huancabamba</t>
  </si>
  <si>
    <t>San José Acatempa</t>
  </si>
  <si>
    <t>039778103</t>
  </si>
  <si>
    <t>Quebrada Canoa</t>
  </si>
  <si>
    <t>038274021</t>
  </si>
  <si>
    <t>Moate</t>
  </si>
  <si>
    <t>Kubangwaru</t>
  </si>
  <si>
    <t>Марино</t>
  </si>
  <si>
    <t>Xinquan</t>
  </si>
  <si>
    <t>Providence</t>
  </si>
  <si>
    <t>Autun</t>
  </si>
  <si>
    <t>Shilin</t>
  </si>
  <si>
    <t>Paris 17</t>
  </si>
  <si>
    <t>Stoczek Łukowski</t>
  </si>
  <si>
    <t>Ormstown</t>
  </si>
  <si>
    <t>Ponte</t>
  </si>
  <si>
    <t>099483150</t>
  </si>
  <si>
    <t>Boshkengash</t>
  </si>
  <si>
    <t>Đạ Tẻh</t>
  </si>
  <si>
    <t>Radā‘</t>
  </si>
  <si>
    <t>087551170</t>
  </si>
  <si>
    <t>Sinarwangi</t>
  </si>
  <si>
    <t>074027433</t>
  </si>
  <si>
    <t>Dagup</t>
  </si>
  <si>
    <t>Ełk</t>
  </si>
  <si>
    <t>Moju</t>
  </si>
  <si>
    <t>Vília</t>
  </si>
  <si>
    <t>Prince Rupert</t>
  </si>
  <si>
    <t>Jiangmen</t>
  </si>
  <si>
    <t>Alung</t>
  </si>
  <si>
    <t>Osorno</t>
  </si>
  <si>
    <t>Labo</t>
  </si>
  <si>
    <t>Dakingari</t>
  </si>
  <si>
    <t>Selasari</t>
  </si>
  <si>
    <t>Besko</t>
  </si>
  <si>
    <t>Aubergenville</t>
  </si>
  <si>
    <t>Sula</t>
  </si>
  <si>
    <t>Valongo</t>
  </si>
  <si>
    <t>Al Khānkah</t>
  </si>
  <si>
    <t>Mértola</t>
  </si>
  <si>
    <t>Rates</t>
  </si>
  <si>
    <t>Anyang</t>
  </si>
  <si>
    <t>Nymburk</t>
  </si>
  <si>
    <t>Tafo</t>
  </si>
  <si>
    <t>Cibaregbeg</t>
  </si>
  <si>
    <t>043521558</t>
  </si>
  <si>
    <t>Wang Yang</t>
  </si>
  <si>
    <t>Liangnong</t>
  </si>
  <si>
    <t>Hengshi</t>
  </si>
  <si>
    <t>Kandangan</t>
  </si>
  <si>
    <t>Naranjal</t>
  </si>
  <si>
    <t>Abiko</t>
  </si>
  <si>
    <t>Longhuashan</t>
  </si>
  <si>
    <t>Zhovkva</t>
  </si>
  <si>
    <t>Lebak</t>
  </si>
  <si>
    <t>Gereshk</t>
  </si>
  <si>
    <t>Yonghe</t>
  </si>
  <si>
    <t>Dabai</t>
  </si>
  <si>
    <t>Moutnice</t>
  </si>
  <si>
    <t>002650556</t>
  </si>
  <si>
    <t>Qiryat Yam</t>
  </si>
  <si>
    <t>Pirané</t>
  </si>
  <si>
    <t>Colima</t>
  </si>
  <si>
    <t>Marshintsy</t>
  </si>
  <si>
    <t>Halinów</t>
  </si>
  <si>
    <t>Hallsberg</t>
  </si>
  <si>
    <t>Celso Ramos</t>
  </si>
  <si>
    <t>White River</t>
  </si>
  <si>
    <t>Taishihe</t>
  </si>
  <si>
    <t>Shanghu</t>
  </si>
  <si>
    <t>Brandsen</t>
  </si>
  <si>
    <t>Ranot</t>
  </si>
  <si>
    <t>Saint-Jouan-des-Guérets</t>
  </si>
  <si>
    <t>Da’an</t>
  </si>
  <si>
    <t>Kisovec</t>
  </si>
  <si>
    <t>Ābdānān</t>
  </si>
  <si>
    <t>Dafeng</t>
  </si>
  <si>
    <t>Campo Maior</t>
  </si>
  <si>
    <t>Sävedalen</t>
  </si>
  <si>
    <t>Brikcha</t>
  </si>
  <si>
    <t>Xidianzi</t>
  </si>
  <si>
    <t>La Unión</t>
  </si>
  <si>
    <t>Kliteh</t>
  </si>
  <si>
    <t>Béja</t>
  </si>
  <si>
    <t>077519620</t>
  </si>
  <si>
    <t>Ferreira do Alentejo</t>
  </si>
  <si>
    <t>Gegernoong</t>
  </si>
  <si>
    <t>La Montañita</t>
  </si>
  <si>
    <t>Sarishābāri</t>
  </si>
  <si>
    <t>Mangge</t>
  </si>
  <si>
    <t>Chabařovice</t>
  </si>
  <si>
    <t>Yangping</t>
  </si>
  <si>
    <t>Berezna</t>
  </si>
  <si>
    <t>Vidual</t>
  </si>
  <si>
    <t>Hultsfred</t>
  </si>
  <si>
    <t>Níkaia</t>
  </si>
  <si>
    <t>Macayug</t>
  </si>
  <si>
    <t>Mahanoro</t>
  </si>
  <si>
    <t>Mozdok</t>
  </si>
  <si>
    <t>Hoolt</t>
  </si>
  <si>
    <t>San Luis</t>
  </si>
  <si>
    <t>Pergan</t>
  </si>
  <si>
    <t>Kanoni</t>
  </si>
  <si>
    <t>Gromadka</t>
  </si>
  <si>
    <t>Payapa</t>
  </si>
  <si>
    <t>Rat Burana</t>
  </si>
  <si>
    <t>Trhové Sviny</t>
  </si>
  <si>
    <t>Kiev</t>
  </si>
  <si>
    <t>Lomintsevskiy</t>
  </si>
  <si>
    <t>Monchegorsk</t>
  </si>
  <si>
    <t>Olavarría</t>
  </si>
  <si>
    <t>Jianshan</t>
  </si>
  <si>
    <t>Shreveport</t>
  </si>
  <si>
    <t>Pingzhuang</t>
  </si>
  <si>
    <t>001074749</t>
  </si>
  <si>
    <t>Merlo</t>
  </si>
  <si>
    <t>Ziniaré</t>
  </si>
  <si>
    <t>Zduńska Wola</t>
  </si>
  <si>
    <t>Mount Ayliff</t>
  </si>
  <si>
    <t>Pīrgaaj</t>
  </si>
  <si>
    <t>Zbraslavice</t>
  </si>
  <si>
    <t>050679686</t>
  </si>
  <si>
    <t>Xilu</t>
  </si>
  <si>
    <t>Bamut</t>
  </si>
  <si>
    <t>La Tour-du-Pin</t>
  </si>
  <si>
    <t>Pader Palwo</t>
  </si>
  <si>
    <t>094437536</t>
  </si>
  <si>
    <t>Maurisu</t>
  </si>
  <si>
    <t>Gorzyce</t>
  </si>
  <si>
    <t>Qingyun</t>
  </si>
  <si>
    <t>Jiuxian</t>
  </si>
  <si>
    <t>Ndungu</t>
  </si>
  <si>
    <t>Emiliano Zapata</t>
  </si>
  <si>
    <t>Spasskoye</t>
  </si>
  <si>
    <t>Gierłoż</t>
  </si>
  <si>
    <t>Sobue</t>
  </si>
  <si>
    <t>High Point</t>
  </si>
  <si>
    <t>Qiankeng</t>
  </si>
  <si>
    <t>Pandean</t>
  </si>
  <si>
    <t>Phong Điền</t>
  </si>
  <si>
    <t>Mirów</t>
  </si>
  <si>
    <t>079668728</t>
  </si>
  <si>
    <t>Franceville</t>
  </si>
  <si>
    <t>Bordeaux</t>
  </si>
  <si>
    <t>Zamora</t>
  </si>
  <si>
    <t>Jubaoshan</t>
  </si>
  <si>
    <t>060082805</t>
  </si>
  <si>
    <t>Shādegān</t>
  </si>
  <si>
    <t>Gueltat Zemmour</t>
  </si>
  <si>
    <t>Mosal’sk</t>
  </si>
  <si>
    <t>Kokstad</t>
  </si>
  <si>
    <t>Malasin</t>
  </si>
  <si>
    <t>Huaqiu</t>
  </si>
  <si>
    <t>Loket</t>
  </si>
  <si>
    <t>Santa Maria do Souto</t>
  </si>
  <si>
    <t>Yanshang</t>
  </si>
  <si>
    <t>002759990</t>
  </si>
  <si>
    <t>Tempuran</t>
  </si>
  <si>
    <t>Karafao</t>
  </si>
  <si>
    <t>São Cristóvão</t>
  </si>
  <si>
    <t>Buensuseso</t>
  </si>
  <si>
    <t>Blantyre</t>
  </si>
  <si>
    <t>Kozel’shchyna</t>
  </si>
  <si>
    <t>Cibuah</t>
  </si>
  <si>
    <t>Cockburn Town</t>
  </si>
  <si>
    <t>Maslog</t>
  </si>
  <si>
    <t>Faqqū‘ah</t>
  </si>
  <si>
    <t>Yelyzavethradka</t>
  </si>
  <si>
    <t>Jackson</t>
  </si>
  <si>
    <t>Itaguaí</t>
  </si>
  <si>
    <t>Fteliá</t>
  </si>
  <si>
    <t>Kiambu</t>
  </si>
  <si>
    <t>042134617</t>
  </si>
  <si>
    <t>Xibër-Murrizë</t>
  </si>
  <si>
    <t>Xudat</t>
  </si>
  <si>
    <t>Yaodu</t>
  </si>
  <si>
    <t>Saint-Gratien</t>
  </si>
  <si>
    <t>Totora</t>
  </si>
  <si>
    <t>Göteborg</t>
  </si>
  <si>
    <t>Čáslav</t>
  </si>
  <si>
    <t>Rudnogorsk</t>
  </si>
  <si>
    <t>Pindiga</t>
  </si>
  <si>
    <t>Adela</t>
  </si>
  <si>
    <t>Krajan Baru</t>
  </si>
  <si>
    <t>Jinqiao</t>
  </si>
  <si>
    <t>Barg-e Matāl</t>
  </si>
  <si>
    <t>Argenteuil</t>
  </si>
  <si>
    <t>Daying</t>
  </si>
  <si>
    <t>010232094</t>
  </si>
  <si>
    <t>Ngrejo</t>
  </si>
  <si>
    <t>Xieba</t>
  </si>
  <si>
    <t>Sigli</t>
  </si>
  <si>
    <t>097837921</t>
  </si>
  <si>
    <t>Aristóbulo del Valle</t>
  </si>
  <si>
    <t>Cane</t>
  </si>
  <si>
    <t>Podhum</t>
  </si>
  <si>
    <t>Vilar</t>
  </si>
  <si>
    <t>Portela</t>
  </si>
  <si>
    <t>Arendal</t>
  </si>
  <si>
    <t>Nabīnagar</t>
  </si>
  <si>
    <t>La Ravoire</t>
  </si>
  <si>
    <t>072119364</t>
  </si>
  <si>
    <t>Dostoyevka</t>
  </si>
  <si>
    <t>Liuzhou</t>
  </si>
  <si>
    <t>São Mateus do Maranhão</t>
  </si>
  <si>
    <t>Rumbek</t>
  </si>
  <si>
    <t>Cigedang</t>
  </si>
  <si>
    <t>Muaralabuh</t>
  </si>
  <si>
    <t>Chełmiec</t>
  </si>
  <si>
    <t>Santa Marta</t>
  </si>
  <si>
    <t>Brändö</t>
  </si>
  <si>
    <t>Liangshuihe</t>
  </si>
  <si>
    <t>Cimara</t>
  </si>
  <si>
    <t>003355034</t>
  </si>
  <si>
    <t>Sanxing</t>
  </si>
  <si>
    <t>Linao</t>
  </si>
  <si>
    <t>Bairan</t>
  </si>
  <si>
    <t>Abaetetuba</t>
  </si>
  <si>
    <t>Pasirjaya</t>
  </si>
  <si>
    <t>Acheng</t>
  </si>
  <si>
    <t>Huakoulongtan</t>
  </si>
  <si>
    <t>Burgastai</t>
  </si>
  <si>
    <t>002643797</t>
  </si>
  <si>
    <t>Chavarría</t>
  </si>
  <si>
    <t>Demuk</t>
  </si>
  <si>
    <t>Sertolovo</t>
  </si>
  <si>
    <t>Jixian</t>
  </si>
  <si>
    <t>Deqing</t>
  </si>
  <si>
    <t>Sala</t>
  </si>
  <si>
    <t>Dłutów</t>
  </si>
  <si>
    <t>Regimin</t>
  </si>
  <si>
    <t>Semiletka</t>
  </si>
  <si>
    <t>Dayr Sharaf</t>
  </si>
  <si>
    <t>Adani</t>
  </si>
  <si>
    <t>Rakhiv</t>
  </si>
  <si>
    <t>Ma'an</t>
  </si>
  <si>
    <t>Navoiy</t>
  </si>
  <si>
    <t>Sishilichengzi</t>
  </si>
  <si>
    <t>079582231</t>
  </si>
  <si>
    <t>Tigaherang</t>
  </si>
  <si>
    <t>Villa Dolores</t>
  </si>
  <si>
    <t>Poá</t>
  </si>
  <si>
    <t>Shibushi</t>
  </si>
  <si>
    <t>Tilburg</t>
  </si>
  <si>
    <t>Ugra</t>
  </si>
  <si>
    <t>Montreuil</t>
  </si>
  <si>
    <t>Garibaldi</t>
  </si>
  <si>
    <t>045459162</t>
  </si>
  <si>
    <t>Tiang</t>
  </si>
  <si>
    <t>Mouquim</t>
  </si>
  <si>
    <t>Montecristi</t>
  </si>
  <si>
    <t>Prince Albert</t>
  </si>
  <si>
    <t>029110447</t>
  </si>
  <si>
    <t>Zaječov</t>
  </si>
  <si>
    <t>Liushun</t>
  </si>
  <si>
    <t>Sancha</t>
  </si>
  <si>
    <t>Damnoen Saduak</t>
  </si>
  <si>
    <t>026776735</t>
  </si>
  <si>
    <t>Cianorte</t>
  </si>
  <si>
    <t>Liuzuo</t>
  </si>
  <si>
    <t>Kāshmar</t>
  </si>
  <si>
    <t>039923728</t>
  </si>
  <si>
    <t>‘Arad</t>
  </si>
  <si>
    <t>Lenart v Slov. Goricah</t>
  </si>
  <si>
    <t>Bigaa</t>
  </si>
  <si>
    <t>Guadalupe</t>
  </si>
  <si>
    <t>030239932</t>
  </si>
  <si>
    <t>Xiaruyue</t>
  </si>
  <si>
    <t>Gweedore</t>
  </si>
  <si>
    <t>Przelewice</t>
  </si>
  <si>
    <t>093690588</t>
  </si>
  <si>
    <t>Dalumangcob</t>
  </si>
  <si>
    <t>Cravo Norte</t>
  </si>
  <si>
    <t>Montería</t>
  </si>
  <si>
    <t>Mikun’</t>
  </si>
  <si>
    <t>Samamiya</t>
  </si>
  <si>
    <t>Tanahmerah</t>
  </si>
  <si>
    <t>Örebro</t>
  </si>
  <si>
    <t>Kefar Yona</t>
  </si>
  <si>
    <t>Pasto</t>
  </si>
  <si>
    <t>Huangtan</t>
  </si>
  <si>
    <t>Il’inskiy</t>
  </si>
  <si>
    <t>Ugljevik</t>
  </si>
  <si>
    <t>Na Chaluai</t>
  </si>
  <si>
    <t>Marolambo</t>
  </si>
  <si>
    <t>Cali</t>
  </si>
  <si>
    <t>Tamana</t>
  </si>
  <si>
    <t>Miyazu</t>
  </si>
  <si>
    <t>Gryfów Śląski</t>
  </si>
  <si>
    <t>Pinagsibaan</t>
  </si>
  <si>
    <t>Jardin</t>
  </si>
  <si>
    <t>Aguilares</t>
  </si>
  <si>
    <t>Muslyumovo</t>
  </si>
  <si>
    <t>Taiyuan</t>
  </si>
  <si>
    <t>Chatturat</t>
  </si>
  <si>
    <t>Paisha</t>
  </si>
  <si>
    <t>095134923</t>
  </si>
  <si>
    <t>Kadugadung</t>
  </si>
  <si>
    <t>Paris 15</t>
  </si>
  <si>
    <t>Dualing</t>
  </si>
  <si>
    <t>Adelaide</t>
  </si>
  <si>
    <t>Pingshi</t>
  </si>
  <si>
    <t>Renshan</t>
  </si>
  <si>
    <t>002859607</t>
  </si>
  <si>
    <t>Sobinka</t>
  </si>
  <si>
    <t>048323559</t>
  </si>
  <si>
    <t>Narol</t>
  </si>
  <si>
    <t>Fresno</t>
  </si>
  <si>
    <t>Vabalninkas</t>
  </si>
  <si>
    <t>Jambuwerkrajan</t>
  </si>
  <si>
    <t>Ozubulu</t>
  </si>
  <si>
    <t>Nakhchivan</t>
  </si>
  <si>
    <t>031809200</t>
  </si>
  <si>
    <t>Curumaní</t>
  </si>
  <si>
    <t>Praia</t>
  </si>
  <si>
    <t>Pallisa</t>
  </si>
  <si>
    <t>San Pascual</t>
  </si>
  <si>
    <t>‘Aşīrah ash Shamālīyah</t>
  </si>
  <si>
    <t>Dom Pedrito</t>
  </si>
  <si>
    <t>San Sebastián de Yalí</t>
  </si>
  <si>
    <t>Shchëkino</t>
  </si>
  <si>
    <t>Turkestan</t>
  </si>
  <si>
    <t>Rzeczenica</t>
  </si>
  <si>
    <t>097754058</t>
  </si>
  <si>
    <t>Perzów</t>
  </si>
  <si>
    <t>Sabon Gari-Nangere</t>
  </si>
  <si>
    <t>Hengshui</t>
  </si>
  <si>
    <t>Nantes</t>
  </si>
  <si>
    <t>Tamorot</t>
  </si>
  <si>
    <t>Sinchao</t>
  </si>
  <si>
    <t>Anding</t>
  </si>
  <si>
    <t>Rukem</t>
  </si>
  <si>
    <t>Bogovarovo</t>
  </si>
  <si>
    <t>Valbo</t>
  </si>
  <si>
    <t>Jaguaruana</t>
  </si>
  <si>
    <t>Ţāqchah Khānah</t>
  </si>
  <si>
    <t>Lipovci</t>
  </si>
  <si>
    <t>065943417</t>
  </si>
  <si>
    <t>Panagyurishte</t>
  </si>
  <si>
    <t>082973351</t>
  </si>
  <si>
    <t>Thị Trấn Than Uyên</t>
  </si>
  <si>
    <t>055465128</t>
  </si>
  <si>
    <t>Clichy</t>
  </si>
  <si>
    <t>Kłoczew</t>
  </si>
  <si>
    <t>Zhukovo</t>
  </si>
  <si>
    <t>Nyköping</t>
  </si>
  <si>
    <t>Jianmin</t>
  </si>
  <si>
    <t>Bucaramanga</t>
  </si>
  <si>
    <t>Kudanding</t>
  </si>
  <si>
    <t>Kyoto</t>
  </si>
  <si>
    <t>Saraburi</t>
  </si>
  <si>
    <t>Negeriagung</t>
  </si>
  <si>
    <t>061608063</t>
  </si>
  <si>
    <t>Latacunga</t>
  </si>
  <si>
    <t>Guanzhou</t>
  </si>
  <si>
    <t>Tabuc Pontevedra</t>
  </si>
  <si>
    <t>001494481</t>
  </si>
  <si>
    <t>Kabale</t>
  </si>
  <si>
    <t>057106109</t>
  </si>
  <si>
    <t>Malveira</t>
  </si>
  <si>
    <t>Veiga</t>
  </si>
  <si>
    <t>Jagistay</t>
  </si>
  <si>
    <t>066473248</t>
  </si>
  <si>
    <t>Yuannan</t>
  </si>
  <si>
    <t>067675206</t>
  </si>
  <si>
    <t>Mount Darwin</t>
  </si>
  <si>
    <t>Qal‘eh-ye Khvājeh</t>
  </si>
  <si>
    <t>088060588</t>
  </si>
  <si>
    <t>Al Qarārah</t>
  </si>
  <si>
    <t>Fandriana</t>
  </si>
  <si>
    <t>Carregueira</t>
  </si>
  <si>
    <t>Lincheng</t>
  </si>
  <si>
    <t>Semenivka</t>
  </si>
  <si>
    <t>Yläne</t>
  </si>
  <si>
    <t>Cendagah</t>
  </si>
  <si>
    <t>Fīrūzābād</t>
  </si>
  <si>
    <t>Trondheim</t>
  </si>
  <si>
    <t>Yakovlevo</t>
  </si>
  <si>
    <t>Katav-Ivanovsk</t>
  </si>
  <si>
    <t>Voznesenskoye</t>
  </si>
  <si>
    <t>Voskhod</t>
  </si>
  <si>
    <t>Gudja</t>
  </si>
  <si>
    <t>Gawul</t>
  </si>
  <si>
    <t>Sobeok</t>
  </si>
  <si>
    <t>Nanhuang</t>
  </si>
  <si>
    <t>Tanudan</t>
  </si>
  <si>
    <t>Jiaozuo</t>
  </si>
  <si>
    <t>Takāb</t>
  </si>
  <si>
    <t>Gualeguay</t>
  </si>
  <si>
    <t>020040620</t>
  </si>
  <si>
    <t>Lagoa Seca</t>
  </si>
  <si>
    <t>Bugarama</t>
  </si>
  <si>
    <t>Dicamay</t>
  </si>
  <si>
    <t>Xiluodu</t>
  </si>
  <si>
    <t>073955818</t>
  </si>
  <si>
    <t>Ḩabābah</t>
  </si>
  <si>
    <t>075606637</t>
  </si>
  <si>
    <t>Lobuk</t>
  </si>
  <si>
    <t>Waiwukak</t>
  </si>
  <si>
    <t>Abaeté</t>
  </si>
  <si>
    <t>040525592</t>
  </si>
  <si>
    <t>Xiaqiao</t>
  </si>
  <si>
    <t>Zubūbah</t>
  </si>
  <si>
    <t>Kęsowo</t>
  </si>
  <si>
    <t>081179893</t>
  </si>
  <si>
    <t>Colombo</t>
  </si>
  <si>
    <t>Messíni</t>
  </si>
  <si>
    <t>Yishui</t>
  </si>
  <si>
    <t>Nanyaojie</t>
  </si>
  <si>
    <t>Buzen</t>
  </si>
  <si>
    <t>Bom Jesus do Itabapoana</t>
  </si>
  <si>
    <t>Centenario</t>
  </si>
  <si>
    <t>Al Jīzah</t>
  </si>
  <si>
    <t>Thị Trấn Cẩm Thủy</t>
  </si>
  <si>
    <t>Curahkalak Tengah</t>
  </si>
  <si>
    <t>Ebu</t>
  </si>
  <si>
    <t>Tío Pujio</t>
  </si>
  <si>
    <t>044685487</t>
  </si>
  <si>
    <t>085848296</t>
  </si>
  <si>
    <t>Shaxi</t>
  </si>
  <si>
    <t>Kelīshād va Sūdarjān</t>
  </si>
  <si>
    <t>Segodim</t>
  </si>
  <si>
    <t>036697519</t>
  </si>
  <si>
    <t>Yinying</t>
  </si>
  <si>
    <t>005204376</t>
  </si>
  <si>
    <t>Harembo</t>
  </si>
  <si>
    <t>Lazarevac</t>
  </si>
  <si>
    <t>048098989</t>
  </si>
  <si>
    <t>Zhongcun</t>
  </si>
  <si>
    <t>Gaopeng</t>
  </si>
  <si>
    <t>Tabonok</t>
  </si>
  <si>
    <t>Tirana</t>
  </si>
  <si>
    <t>Maralal</t>
  </si>
  <si>
    <t>Xinjiang</t>
  </si>
  <si>
    <t>Mocho</t>
  </si>
  <si>
    <t>027111034</t>
  </si>
  <si>
    <t>Likhoy</t>
  </si>
  <si>
    <t>Mineiros</t>
  </si>
  <si>
    <t>Noisy-le-Grand</t>
  </si>
  <si>
    <t>Taoyuan</t>
  </si>
  <si>
    <t>San Marcos de Colón</t>
  </si>
  <si>
    <t>Pokrovka</t>
  </si>
  <si>
    <t>Shuntian</t>
  </si>
  <si>
    <t>João Câmara</t>
  </si>
  <si>
    <t>Cunha</t>
  </si>
  <si>
    <t>Fengyi</t>
  </si>
  <si>
    <t>Myshkin</t>
  </si>
  <si>
    <t>Tewulike</t>
  </si>
  <si>
    <t>Bistrinci</t>
  </si>
  <si>
    <t>Chenguang</t>
  </si>
  <si>
    <t>Muara</t>
  </si>
  <si>
    <t>Qorveh</t>
  </si>
  <si>
    <t>Bom Despacho</t>
  </si>
  <si>
    <t>Arhust</t>
  </si>
  <si>
    <t>Thaton</t>
  </si>
  <si>
    <t>Changbai</t>
  </si>
  <si>
    <t>Kragan</t>
  </si>
  <si>
    <t>Bida</t>
  </si>
  <si>
    <t>Pointe Michel</t>
  </si>
  <si>
    <t>Juyuan</t>
  </si>
  <si>
    <t>Sabugo</t>
  </si>
  <si>
    <t>Huangjin</t>
  </si>
  <si>
    <t>Huquan</t>
  </si>
  <si>
    <t>Xinqiao</t>
  </si>
  <si>
    <t>Trzemeszno</t>
  </si>
  <si>
    <t>Dashkawka</t>
  </si>
  <si>
    <t>073230255</t>
  </si>
  <si>
    <t>Sakura</t>
  </si>
  <si>
    <t>Lianghu</t>
  </si>
  <si>
    <t>Karabash</t>
  </si>
  <si>
    <t>Maomiaoji</t>
  </si>
  <si>
    <t>Pingtian</t>
  </si>
  <si>
    <t>067645496</t>
  </si>
  <si>
    <t>Tišina</t>
  </si>
  <si>
    <t>Montceau-les-Mines</t>
  </si>
  <si>
    <t>Karengan</t>
  </si>
  <si>
    <t>086146177</t>
  </si>
  <si>
    <t>Sungai Raya</t>
  </si>
  <si>
    <t>Zwedru</t>
  </si>
  <si>
    <t>Ţahţā</t>
  </si>
  <si>
    <t>Masaran</t>
  </si>
  <si>
    <t>Huangtang</t>
  </si>
  <si>
    <t>Skoútari</t>
  </si>
  <si>
    <t>Jelat</t>
  </si>
  <si>
    <t>066380433</t>
  </si>
  <si>
    <t>Doibang</t>
  </si>
  <si>
    <t>Kazimierz Dolny</t>
  </si>
  <si>
    <t>Margasari</t>
  </si>
  <si>
    <t>Garça</t>
  </si>
  <si>
    <t>Muff</t>
  </si>
  <si>
    <t>Kryva Hora</t>
  </si>
  <si>
    <t>Pyra</t>
  </si>
  <si>
    <t>General Lavalle</t>
  </si>
  <si>
    <t>Zhongzhang</t>
  </si>
  <si>
    <t>Estacion</t>
  </si>
  <si>
    <t>Xinglongchang</t>
  </si>
  <si>
    <t>San Nicolas</t>
  </si>
  <si>
    <t>Ropa</t>
  </si>
  <si>
    <t>San Diego</t>
  </si>
  <si>
    <t>Pan-an</t>
  </si>
  <si>
    <t>Shu</t>
  </si>
  <si>
    <t>Mojogajeh</t>
  </si>
  <si>
    <t>Mawu</t>
  </si>
  <si>
    <t>Genting</t>
  </si>
  <si>
    <t>Madan</t>
  </si>
  <si>
    <t>Hexiangqiao</t>
  </si>
  <si>
    <t>Na Muen</t>
  </si>
  <si>
    <t>Gafargaon</t>
  </si>
  <si>
    <t>Qingban</t>
  </si>
  <si>
    <t>051670833</t>
  </si>
  <si>
    <t>Labège</t>
  </si>
  <si>
    <t>Port Elizabeth</t>
  </si>
  <si>
    <t>Sauri</t>
  </si>
  <si>
    <t>Desakolot</t>
  </si>
  <si>
    <t>Huambo</t>
  </si>
  <si>
    <t>Luoting</t>
  </si>
  <si>
    <t>Stepnogorsk</t>
  </si>
  <si>
    <t>Zarechnyy</t>
  </si>
  <si>
    <t>Banjar Medura</t>
  </si>
  <si>
    <t>Arnprior</t>
  </si>
  <si>
    <t>Donglu</t>
  </si>
  <si>
    <t>Inderka</t>
  </si>
  <si>
    <t>Tochio-honchō</t>
  </si>
  <si>
    <t>Pasadena</t>
  </si>
  <si>
    <t>Barishāl</t>
  </si>
  <si>
    <t>Kihurio</t>
  </si>
  <si>
    <t>Oekero</t>
  </si>
  <si>
    <t>Cluses</t>
  </si>
  <si>
    <t>Wrząsowice</t>
  </si>
  <si>
    <t>Hengfeng</t>
  </si>
  <si>
    <t>039912098</t>
  </si>
  <si>
    <t>Bor</t>
  </si>
  <si>
    <t>Nawu</t>
  </si>
  <si>
    <t>Longotea</t>
  </si>
  <si>
    <t>Ḩabīl al Jabr</t>
  </si>
  <si>
    <t>Gueset</t>
  </si>
  <si>
    <t>Līkak</t>
  </si>
  <si>
    <t>034228710</t>
  </si>
  <si>
    <t>Yuanguping</t>
  </si>
  <si>
    <t>Colón</t>
  </si>
  <si>
    <t>Lyon</t>
  </si>
  <si>
    <t>Chamical</t>
  </si>
  <si>
    <t>Ágios Andréas</t>
  </si>
  <si>
    <t>Cibeusi</t>
  </si>
  <si>
    <t>Itsandzéni</t>
  </si>
  <si>
    <t>Kosh-Agach</t>
  </si>
  <si>
    <t>Kuafeu</t>
  </si>
  <si>
    <t>Xincheng</t>
  </si>
  <si>
    <t>Minneapolis</t>
  </si>
  <si>
    <t>Péfki</t>
  </si>
  <si>
    <t>Ḩawallī</t>
  </si>
  <si>
    <t>Imielin</t>
  </si>
  <si>
    <t>Przeworsk</t>
  </si>
  <si>
    <t>Amsterdam Nieuw West</t>
  </si>
  <si>
    <t>027257664</t>
  </si>
  <si>
    <t>Klishkivtsi</t>
  </si>
  <si>
    <t>Borova</t>
  </si>
  <si>
    <t>Vendargues</t>
  </si>
  <si>
    <t>Zilang</t>
  </si>
  <si>
    <t>Camalote</t>
  </si>
  <si>
    <t>Julayjilah</t>
  </si>
  <si>
    <t>Badajoz</t>
  </si>
  <si>
    <t>Fort Wayne</t>
  </si>
  <si>
    <t>Galán</t>
  </si>
  <si>
    <t>Saint Joseph</t>
  </si>
  <si>
    <t>Hospitalet De Llobregat, L'</t>
  </si>
  <si>
    <t>Palma De Mallorca</t>
  </si>
  <si>
    <t>Pho Duc</t>
  </si>
  <si>
    <t>Łeba</t>
  </si>
  <si>
    <t>048297037</t>
  </si>
  <si>
    <t>Yaguaraparo</t>
  </si>
  <si>
    <t>Novoorsk</t>
  </si>
  <si>
    <t>Wuyang</t>
  </si>
  <si>
    <t>Pelasgía</t>
  </si>
  <si>
    <t>Phúc Thọ</t>
  </si>
  <si>
    <t>014848220</t>
  </si>
  <si>
    <t>Vsevolozhsk</t>
  </si>
  <si>
    <t>Kara Suu</t>
  </si>
  <si>
    <t>Beigucheng</t>
  </si>
  <si>
    <t>Cerro</t>
  </si>
  <si>
    <t>Yamaga</t>
  </si>
  <si>
    <t>Sacramento</t>
  </si>
  <si>
    <t>Foso</t>
  </si>
  <si>
    <t>Nowe Brzesko</t>
  </si>
  <si>
    <t>Konārak</t>
  </si>
  <si>
    <t>Qingshandi</t>
  </si>
  <si>
    <t>Mbala</t>
  </si>
  <si>
    <t>Shiqiao</t>
  </si>
  <si>
    <t>Yatsuomachi-higashikumisaka</t>
  </si>
  <si>
    <t>Czarna Dąbrówka</t>
  </si>
  <si>
    <t>Pasirmadang</t>
  </si>
  <si>
    <t>Maño</t>
  </si>
  <si>
    <t>073142945</t>
  </si>
  <si>
    <t>Tiwi</t>
  </si>
  <si>
    <t>Ahar</t>
  </si>
  <si>
    <t>Dake</t>
  </si>
  <si>
    <t>Harstad</t>
  </si>
  <si>
    <t>Perbaungan</t>
  </si>
  <si>
    <t>Soroti</t>
  </si>
  <si>
    <t>Caruaru</t>
  </si>
  <si>
    <t>Kamiennik</t>
  </si>
  <si>
    <t>Boundiali</t>
  </si>
  <si>
    <t>Götene</t>
  </si>
  <si>
    <t>Kadumelati</t>
  </si>
  <si>
    <t>038749055</t>
  </si>
  <si>
    <t>Amparo</t>
  </si>
  <si>
    <t>Shimen</t>
  </si>
  <si>
    <t>010892223</t>
  </si>
  <si>
    <t>Philadelphia</t>
  </si>
  <si>
    <t>Myingyan</t>
  </si>
  <si>
    <t>Qingqu</t>
  </si>
  <si>
    <t>Poste de Flacq</t>
  </si>
  <si>
    <t>Ţawr al Bāḩah</t>
  </si>
  <si>
    <t>Phu Loc</t>
  </si>
  <si>
    <t>Jembangan</t>
  </si>
  <si>
    <t>Harhorin</t>
  </si>
  <si>
    <t>046602742</t>
  </si>
  <si>
    <t>Meijiang</t>
  </si>
  <si>
    <t>Lañgub</t>
  </si>
  <si>
    <t>Bangbayang</t>
  </si>
  <si>
    <t>Stěbořice</t>
  </si>
  <si>
    <t>Banturkrajan</t>
  </si>
  <si>
    <t>São Torcato</t>
  </si>
  <si>
    <t>Kapan</t>
  </si>
  <si>
    <t>Văn Giang</t>
  </si>
  <si>
    <t>Tanushimarumachi-toyoki</t>
  </si>
  <si>
    <t>Kazo</t>
  </si>
  <si>
    <t>Rawa Mazowiecka</t>
  </si>
  <si>
    <t>Wŏnsan</t>
  </si>
  <si>
    <t>Villavicencio</t>
  </si>
  <si>
    <t>Berlin</t>
  </si>
  <si>
    <t>Wailang</t>
  </si>
  <si>
    <t>Fangshan</t>
  </si>
  <si>
    <t>Tallahassee</t>
  </si>
  <si>
    <t>Anchorage</t>
  </si>
  <si>
    <t>Mulhouse</t>
  </si>
  <si>
    <t>Tangkilsari</t>
  </si>
  <si>
    <t>San Carlos</t>
  </si>
  <si>
    <t>Queluz</t>
  </si>
  <si>
    <t>Särkisalo</t>
  </si>
  <si>
    <t>Vitoria-Gasteiz</t>
  </si>
  <si>
    <t>Coro</t>
  </si>
  <si>
    <t>Purwa</t>
  </si>
  <si>
    <t>Gävle</t>
  </si>
  <si>
    <t>Embu Guaçu</t>
  </si>
  <si>
    <t>Fubin</t>
  </si>
  <si>
    <t>014043425</t>
  </si>
  <si>
    <t>Talshand</t>
  </si>
  <si>
    <t>Palampal</t>
  </si>
  <si>
    <t>Kamárai</t>
  </si>
  <si>
    <t>092580424</t>
  </si>
  <si>
    <t>Ettelbruck</t>
  </si>
  <si>
    <t>Cawayan</t>
  </si>
  <si>
    <t>055067216</t>
  </si>
  <si>
    <t>Don Carlos</t>
  </si>
  <si>
    <t>Cervantes</t>
  </si>
  <si>
    <t>Ebebiyin</t>
  </si>
  <si>
    <t>Chuquitira</t>
  </si>
  <si>
    <t>Proletarsk</t>
  </si>
  <si>
    <t>Naghalin</t>
  </si>
  <si>
    <t>Honolulu</t>
  </si>
  <si>
    <t>Dhalie</t>
  </si>
  <si>
    <t>Giesteira</t>
  </si>
  <si>
    <t>Khilok</t>
  </si>
  <si>
    <t>Vereshchagino</t>
  </si>
  <si>
    <t>Binagadi</t>
  </si>
  <si>
    <t>Tsuen Wan</t>
  </si>
  <si>
    <t>059756985</t>
  </si>
  <si>
    <t>Banjar Batanpoh</t>
  </si>
  <si>
    <t>Yenakiyeve</t>
  </si>
  <si>
    <t>San Ramon</t>
  </si>
  <si>
    <t>Sakété</t>
  </si>
  <si>
    <t>Pantenan</t>
  </si>
  <si>
    <t>Antrukan</t>
  </si>
  <si>
    <t>062377338</t>
  </si>
  <si>
    <t>Dhahab</t>
  </si>
  <si>
    <t>Vetluga</t>
  </si>
  <si>
    <t>Wolfsberg</t>
  </si>
  <si>
    <t>San Bautista</t>
  </si>
  <si>
    <t>089774418</t>
  </si>
  <si>
    <t>Reuleuet</t>
  </si>
  <si>
    <t>Lonpao Dajah</t>
  </si>
  <si>
    <t>Nanqiao</t>
  </si>
  <si>
    <t>063576548</t>
  </si>
  <si>
    <t>Ishikawa</t>
  </si>
  <si>
    <t>Oguma</t>
  </si>
  <si>
    <t>Těšany</t>
  </si>
  <si>
    <t>Aksha</t>
  </si>
  <si>
    <t>Lahan Sai</t>
  </si>
  <si>
    <t>Estância</t>
  </si>
  <si>
    <t>Las Lomas</t>
  </si>
  <si>
    <t>Xiamayu</t>
  </si>
  <si>
    <t>Iñapari</t>
  </si>
  <si>
    <t>Orsay</t>
  </si>
  <si>
    <t>Zhongying</t>
  </si>
  <si>
    <t>Bayḩān</t>
  </si>
  <si>
    <t>Beizhakou</t>
  </si>
  <si>
    <t>Kyŏngsŏng</t>
  </si>
  <si>
    <t>Turinsk</t>
  </si>
  <si>
    <t>As Sawdā</t>
  </si>
  <si>
    <t>Legaspi</t>
  </si>
  <si>
    <t>Shimorskoye</t>
  </si>
  <si>
    <t>Kościelec</t>
  </si>
  <si>
    <t>Yongfu</t>
  </si>
  <si>
    <t>Vinkkilä</t>
  </si>
  <si>
    <t>Revolucion Verde</t>
  </si>
  <si>
    <t>Newton</t>
  </si>
  <si>
    <t>Nantang</t>
  </si>
  <si>
    <t>Perugia</t>
  </si>
  <si>
    <t>Tancheng</t>
  </si>
  <si>
    <t>Leon Postigo</t>
  </si>
  <si>
    <t>Bollène</t>
  </si>
  <si>
    <t>Baihe</t>
  </si>
  <si>
    <t>Puqi</t>
  </si>
  <si>
    <t>Pedraza</t>
  </si>
  <si>
    <t>Pasinan Barat</t>
  </si>
  <si>
    <t>Saltpond</t>
  </si>
  <si>
    <t>Rende</t>
  </si>
  <si>
    <t>Zarasai</t>
  </si>
  <si>
    <t>Nanchangshan</t>
  </si>
  <si>
    <t>Pegões</t>
  </si>
  <si>
    <t>Espírito Santo do Pinhal</t>
  </si>
  <si>
    <t>Újezd</t>
  </si>
  <si>
    <t>Bhadrapur</t>
  </si>
  <si>
    <t>Kostrovo</t>
  </si>
  <si>
    <t>Lemery</t>
  </si>
  <si>
    <t>Youcheng</t>
  </si>
  <si>
    <t>Napoli</t>
  </si>
  <si>
    <t>El Caño</t>
  </si>
  <si>
    <t>Heemstede</t>
  </si>
  <si>
    <t>Panyam</t>
  </si>
  <si>
    <t>Faraulep</t>
  </si>
  <si>
    <t>031020288</t>
  </si>
  <si>
    <t>San Isidro</t>
  </si>
  <si>
    <t>Mranggen</t>
  </si>
  <si>
    <t>Cigadog</t>
  </si>
  <si>
    <t>Caitang</t>
  </si>
  <si>
    <t>Masoyila</t>
  </si>
  <si>
    <t>Beiyuan</t>
  </si>
  <si>
    <t>Kariya</t>
  </si>
  <si>
    <t>Malakhovka</t>
  </si>
  <si>
    <t>At-Bashi</t>
  </si>
  <si>
    <t>Sankeyushu</t>
  </si>
  <si>
    <t>017992615</t>
  </si>
  <si>
    <t>Limoges</t>
  </si>
  <si>
    <t>Hägersten</t>
  </si>
  <si>
    <t>Tarata</t>
  </si>
  <si>
    <t>Marabahan</t>
  </si>
  <si>
    <t>Eslāmābād</t>
  </si>
  <si>
    <t>Emar</t>
  </si>
  <si>
    <t>Baisha</t>
  </si>
  <si>
    <t>Skórzec</t>
  </si>
  <si>
    <t>São João dos Inhamuns</t>
  </si>
  <si>
    <t>019254021</t>
  </si>
  <si>
    <t>Tambaksari</t>
  </si>
  <si>
    <t>Lazarat</t>
  </si>
  <si>
    <t>Belene</t>
  </si>
  <si>
    <t>Xiangshan</t>
  </si>
  <si>
    <t>078343350</t>
  </si>
  <si>
    <t>Zengfu</t>
  </si>
  <si>
    <t>Tingsryd</t>
  </si>
  <si>
    <t>Tipaz</t>
  </si>
  <si>
    <t>Wādī as Salqā</t>
  </si>
  <si>
    <t>Wasagu</t>
  </si>
  <si>
    <t>Wangsi</t>
  </si>
  <si>
    <t>Esmeralda</t>
  </si>
  <si>
    <t>Chivilcoy</t>
  </si>
  <si>
    <t>São Miguel do Araguaia</t>
  </si>
  <si>
    <t>Libei</t>
  </si>
  <si>
    <t>026769312</t>
  </si>
  <si>
    <t>Kuçovë</t>
  </si>
  <si>
    <t>Bokong Timur</t>
  </si>
  <si>
    <t>Gaowu</t>
  </si>
  <si>
    <t>Guéret</t>
  </si>
  <si>
    <t>086522085</t>
  </si>
  <si>
    <t>Postřekov</t>
  </si>
  <si>
    <t>Gobojango</t>
  </si>
  <si>
    <t>097378354</t>
  </si>
  <si>
    <t>Tandahimba</t>
  </si>
  <si>
    <t>Iwade</t>
  </si>
  <si>
    <t>La Guata</t>
  </si>
  <si>
    <t>Saint-Brieuc</t>
  </si>
  <si>
    <t>Paya Dapur</t>
  </si>
  <si>
    <t>Xinzha</t>
  </si>
  <si>
    <t>Al Qārah</t>
  </si>
  <si>
    <t>Antipolo</t>
  </si>
  <si>
    <t>Yuyangguan</t>
  </si>
  <si>
    <t>Qiman</t>
  </si>
  <si>
    <t>Maguwon</t>
  </si>
  <si>
    <t>Tsibulev</t>
  </si>
  <si>
    <t>San Antonio Aguas Calientes</t>
  </si>
  <si>
    <t>Pombas</t>
  </si>
  <si>
    <t>Ku‘aydinah</t>
  </si>
  <si>
    <t>093320236</t>
  </si>
  <si>
    <t>San Marcos</t>
  </si>
  <si>
    <t>Chum Phae</t>
  </si>
  <si>
    <t>La Laja</t>
  </si>
  <si>
    <t>San Juan del Cesar</t>
  </si>
  <si>
    <t>Taiyigong</t>
  </si>
  <si>
    <t>Tayabamba</t>
  </si>
  <si>
    <t>021004320</t>
  </si>
  <si>
    <t>Majennang</t>
  </si>
  <si>
    <t>Njeru</t>
  </si>
  <si>
    <t>Ambatolaona</t>
  </si>
  <si>
    <t>Jianggang</t>
  </si>
  <si>
    <t>Langkou</t>
  </si>
  <si>
    <t>Horní Suchá</t>
  </si>
  <si>
    <t>Haradok</t>
  </si>
  <si>
    <t>Vichuga</t>
  </si>
  <si>
    <t>Luci</t>
  </si>
  <si>
    <t>Guolemude</t>
  </si>
  <si>
    <t>Prengtale</t>
  </si>
  <si>
    <t>Cabanas</t>
  </si>
  <si>
    <t>Faīẕābād</t>
  </si>
  <si>
    <t>Sukumo</t>
  </si>
  <si>
    <t>Fenglu</t>
  </si>
  <si>
    <t>Tanjungbalai</t>
  </si>
  <si>
    <t>Carrefour</t>
  </si>
  <si>
    <t>Hejiang</t>
  </si>
  <si>
    <t>Yaizu</t>
  </si>
  <si>
    <t>060610023</t>
  </si>
  <si>
    <t>Kembé</t>
  </si>
  <si>
    <t>Novokayakent</t>
  </si>
  <si>
    <t>Hekou</t>
  </si>
  <si>
    <t>Bailadores</t>
  </si>
  <si>
    <t>Masuda</t>
  </si>
  <si>
    <t>020558248</t>
  </si>
  <si>
    <t>Martanesh</t>
  </si>
  <si>
    <t>Xinzhou</t>
  </si>
  <si>
    <t>Nanfeng</t>
  </si>
  <si>
    <t>Oke Ila</t>
  </si>
  <si>
    <t>Rio Pardo</t>
  </si>
  <si>
    <t>Pingtang</t>
  </si>
  <si>
    <t>081856608</t>
  </si>
  <si>
    <t>Podbrdo</t>
  </si>
  <si>
    <t>Aramayuan</t>
  </si>
  <si>
    <t>Paquera</t>
  </si>
  <si>
    <t>Warudoyong</t>
  </si>
  <si>
    <t>Béziers</t>
  </si>
  <si>
    <t>Dongzhou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</si>
</sst>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8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001"/>
  <sheetViews>
    <sheetView tabSelected="1" zoomScaleSheetLayoutView="60" topLeftCell="BE1" workbookViewId="0">
      <selection activeCell="BK1" sqref="BK1"/>
    </sheetView>
  </sheetViews>
  <sheetFormatPr defaultColWidth="9.81818181818182" defaultRowHeight="14.5"/>
  <cols>
    <col min="1" max="1" width="24.3636363636364" style="1" customWidth="1"/>
    <col min="2" max="2" width="20.1818181818182" customWidth="1"/>
    <col min="3" max="3" width="20.2727272727273" customWidth="1"/>
    <col min="4" max="4" width="25.7272727272727" customWidth="1"/>
    <col min="5" max="5" width="27.6363636363636" customWidth="1"/>
    <col min="6" max="6" width="27.4545454545455" customWidth="1"/>
    <col min="7" max="7" width="26" customWidth="1"/>
    <col min="8" max="8" width="23.0909090909091" customWidth="1"/>
    <col min="9" max="9" width="28.1818181818182" customWidth="1"/>
    <col min="10" max="10" width="25.2727272727273" customWidth="1"/>
    <col min="11" max="11" width="26.4545454545455" customWidth="1"/>
    <col min="12" max="12" width="23.3636363636364" customWidth="1"/>
    <col min="13" max="13" width="24.0909090909091" customWidth="1"/>
    <col min="14" max="14" width="19.4545454545455" customWidth="1"/>
    <col min="15" max="15" width="21.2727272727273" customWidth="1"/>
    <col min="16" max="16" width="26.4545454545455" customWidth="1"/>
    <col min="17" max="17" width="22.0909090909091" customWidth="1"/>
    <col min="18" max="18" width="18.8181818181818" customWidth="1"/>
    <col min="19" max="19" width="22.4545454545455" customWidth="1"/>
    <col min="20" max="20" width="35.5454545454545" customWidth="1"/>
    <col min="21" max="21" width="24.2727272727273" customWidth="1"/>
    <col min="22" max="22" width="24.1818181818182" customWidth="1"/>
    <col min="23" max="23" width="28" customWidth="1"/>
    <col min="24" max="24" width="27.2727272727273" customWidth="1"/>
    <col min="25" max="25" width="23.7272727272727" customWidth="1"/>
    <col min="26" max="26" width="24" customWidth="1"/>
    <col min="27" max="27" width="22.8181818181818" customWidth="1"/>
    <col min="28" max="28" width="28.4545454545455" customWidth="1"/>
    <col min="29" max="29" width="28.0909090909091" customWidth="1"/>
    <col min="30" max="30" width="26.2727272727273" customWidth="1"/>
    <col min="31" max="31" width="26.3636363636364" customWidth="1"/>
    <col min="32" max="32" width="27.3636363636364" customWidth="1"/>
    <col min="33" max="33" width="32.0909090909091" customWidth="1"/>
    <col min="34" max="34" width="31.5454545454545" customWidth="1"/>
    <col min="35" max="35" width="28.2727272727273" customWidth="1"/>
    <col min="36" max="36" width="27.5454545454545" customWidth="1"/>
    <col min="37" max="37" width="28.1818181818182" customWidth="1"/>
    <col min="38" max="38" width="24.1818181818182" customWidth="1"/>
    <col min="39" max="39" width="21.4545454545455" customWidth="1"/>
    <col min="40" max="40" width="24.7272727272727" customWidth="1"/>
    <col min="41" max="41" width="26.9090909090909" customWidth="1"/>
    <col min="42" max="42" width="27.4545454545455" customWidth="1"/>
    <col min="43" max="43" width="22.7272727272727" customWidth="1"/>
    <col min="44" max="44" width="22" customWidth="1"/>
    <col min="45" max="45" width="31" customWidth="1"/>
    <col min="46" max="46" width="14.2727272727273" customWidth="1"/>
    <col min="47" max="47" width="28.5454545454545" customWidth="1"/>
    <col min="48" max="48" width="21.1818181818182" customWidth="1"/>
    <col min="49" max="49" width="18.5454545454545" customWidth="1"/>
    <col min="50" max="50" width="16.9090909090909" customWidth="1"/>
    <col min="51" max="51" width="46.4545454545455" customWidth="1"/>
    <col min="52" max="52" width="20.7272727272727" customWidth="1"/>
    <col min="53" max="53" width="24.0909090909091" customWidth="1"/>
    <col min="54" max="54" width="19.2727272727273" customWidth="1"/>
    <col min="55" max="55" width="20.3636363636364" customWidth="1"/>
    <col min="56" max="56" width="26.4545454545455" customWidth="1"/>
    <col min="57" max="57" width="28.4545454545455" customWidth="1"/>
    <col min="58" max="58" width="21.1818181818182" customWidth="1"/>
    <col min="59" max="59" width="29.2727272727273" customWidth="1"/>
    <col min="60" max="60" width="22.4545454545455" customWidth="1"/>
    <col min="61" max="61" width="20.6363636363636" customWidth="1"/>
    <col min="62" max="62" width="17.1818181818182" customWidth="1"/>
  </cols>
  <sheetData>
    <row r="1" spans="1:6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11</v>
      </c>
      <c r="AW1" t="s">
        <v>47</v>
      </c>
      <c r="AX1" t="s">
        <v>48</v>
      </c>
      <c r="AY1" t="s">
        <v>49</v>
      </c>
      <c r="AZ1" t="s">
        <v>2</v>
      </c>
      <c r="BA1" t="s">
        <v>50</v>
      </c>
      <c r="BB1" t="s">
        <v>23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</row>
    <row r="2" spans="1:62">
      <c r="A2" s="1">
        <v>376116911</v>
      </c>
      <c r="B2">
        <v>22</v>
      </c>
      <c r="C2" t="s">
        <v>59</v>
      </c>
      <c r="D2" t="s">
        <v>60</v>
      </c>
      <c r="E2" t="s">
        <v>61</v>
      </c>
      <c r="F2" t="s">
        <v>62</v>
      </c>
      <c r="G2" t="s">
        <v>60</v>
      </c>
      <c r="H2" t="s">
        <v>63</v>
      </c>
      <c r="I2" t="s">
        <v>64</v>
      </c>
      <c r="J2" s="2">
        <v>333.8</v>
      </c>
      <c r="K2">
        <v>4</v>
      </c>
      <c r="L2" t="s">
        <v>65</v>
      </c>
      <c r="M2">
        <v>5</v>
      </c>
      <c r="N2">
        <v>5</v>
      </c>
      <c r="O2">
        <v>2</v>
      </c>
      <c r="P2" t="s">
        <v>66</v>
      </c>
      <c r="Q2" t="s">
        <v>67</v>
      </c>
      <c r="R2">
        <v>1</v>
      </c>
      <c r="S2">
        <v>7</v>
      </c>
      <c r="T2" t="s">
        <v>66</v>
      </c>
      <c r="U2" t="s">
        <v>68</v>
      </c>
      <c r="V2" t="s">
        <v>69</v>
      </c>
      <c r="W2" s="3">
        <v>45352</v>
      </c>
      <c r="X2" t="b">
        <v>1</v>
      </c>
      <c r="Y2" t="b">
        <v>0</v>
      </c>
      <c r="Z2" t="s">
        <v>70</v>
      </c>
      <c r="AA2" t="s">
        <v>71</v>
      </c>
      <c r="AB2">
        <v>2</v>
      </c>
      <c r="AC2">
        <f>(COUNTIF(E2:E1001,"Married")/COUNTA(E2:E1001))*100</f>
        <v>25.3</v>
      </c>
      <c r="AD2">
        <f>(COUNTIF(E2:E1001,"Single")/COUNTA(E2:E1001))*100</f>
        <v>24.2</v>
      </c>
      <c r="AE2">
        <f>(COUNTIF(E2:E1001,"Widowed")/COUNTA(E2:E1001))*100</f>
        <v>26</v>
      </c>
      <c r="AF2">
        <f>(COUNTIF(E2:E1001,"Divorced")/COUNTA(E2:E1001))*100</f>
        <v>24.5</v>
      </c>
      <c r="AG2">
        <f>(COUNTIF(F2:F1001,"Bachelor's")/COUNTA(F2:F1001))*100</f>
        <v>34.1</v>
      </c>
      <c r="AH2">
        <f>(COUNTIF(F2:F1001,"High School")/COUNTA(F2:F1001))*100</f>
        <v>33.1</v>
      </c>
      <c r="AI2">
        <f>(COUNTIF(F2:F1001,"Master's")/COUNTA(F2:F1001))*100</f>
        <v>32.8</v>
      </c>
      <c r="AJ2">
        <f>(COUNTIF(G2:G1001,"Middle")/COUNTA(G2:G1001))*100</f>
        <v>48.3</v>
      </c>
      <c r="AK2">
        <f>(COUNTIF(G2:G1001,"High")/COUNTA(G2:G1001))*100</f>
        <v>51.7</v>
      </c>
      <c r="AL2" t="str" cm="1">
        <f t="array" ref="AL2:AL25">_xlfn.UNIQUE(I2:I1001)</f>
        <v>Gardening &amp; Outdoors</v>
      </c>
      <c r="AM2" cm="1">
        <f t="array" ref="AM2:AM25">COUNTIF($I$2:$I$1001,_xlfn.ANCHORARRAY(AL2))</f>
        <v>44</v>
      </c>
      <c r="AN2">
        <f>AM2/1001</f>
        <v>0.043956043956044</v>
      </c>
      <c r="AO2" t="str">
        <f>IF(B2&lt;=25,"18-25",IF(B2&lt;=40,"26-40",IF(B2&lt;=60,"41-60","Above60")))</f>
        <v>18-25</v>
      </c>
      <c r="AP2" t="str" cm="1">
        <f t="array" ref="AP2:AP4">_xlfn.UNIQUE(AO2:AO1001)</f>
        <v>18-25</v>
      </c>
      <c r="AQ2">
        <f>SUMIF($AO$2:$AO$1001,AP2,$J$2:$J$1001)</f>
        <v>61944.9</v>
      </c>
      <c r="AR2" cm="1">
        <f t="array" ref="AR2:AR6">_xlfn.UNIQUE(M2:M1001)</f>
        <v>5</v>
      </c>
      <c r="AS2">
        <f>AQ2/AR2</f>
        <v>12388.98</v>
      </c>
      <c r="AT2" t="s">
        <v>66</v>
      </c>
      <c r="AU2">
        <f>AVERAGEIF(P2:P1002,"None",O2:O1002)</f>
        <v>1.02732793522267</v>
      </c>
      <c r="AV2" t="s">
        <v>72</v>
      </c>
      <c r="AW2">
        <f>AVERAGEIF(L2:L1002,"Mixed",N2:N1002)</f>
        <v>3.1</v>
      </c>
      <c r="AX2">
        <f>AVERAGEIF(L2:L1002,"Mixed",R2:R1002)</f>
        <v>0.944117647058824</v>
      </c>
      <c r="AY2">
        <f>AW2+AX2</f>
        <v>4.04411764705882</v>
      </c>
      <c r="AZ2" t="s">
        <v>73</v>
      </c>
      <c r="BA2">
        <f>(SUM(AB2:AB1002)/449)</f>
        <v>16.8084632516704</v>
      </c>
      <c r="BB2">
        <f>COUNTIF(X2:X1002,"TRUE")</f>
        <v>521</v>
      </c>
      <c r="BC2">
        <f>MAX(J2:J1002)</f>
        <v>498.33</v>
      </c>
      <c r="BD2">
        <v>4</v>
      </c>
      <c r="BE2">
        <f>SUMIF(G2:G1002,"Middle",J2:J1002)</f>
        <v>134287.21</v>
      </c>
      <c r="BF2" cm="1">
        <f t="array" ref="BF2">CORREL(J2:J1002,S2:S1002)</f>
        <v>-0.0224670220862172</v>
      </c>
      <c r="BG2">
        <f>STANDARDIZE(J2,AVERAGE($J$2:$J$1002),_xlfn.STDEV.S($J$2:$J$1002))</f>
        <v>0.446550454073886</v>
      </c>
      <c r="BH2">
        <v>7</v>
      </c>
      <c r="BI2">
        <f>K2/S2</f>
        <v>0.571428571428571</v>
      </c>
      <c r="BJ2">
        <f>BH2/BI2</f>
        <v>12.25</v>
      </c>
    </row>
    <row r="3" spans="1:62">
      <c r="A3" s="1">
        <v>293929296</v>
      </c>
      <c r="B3">
        <v>49</v>
      </c>
      <c r="C3" t="s">
        <v>73</v>
      </c>
      <c r="D3" t="s">
        <v>74</v>
      </c>
      <c r="E3" t="s">
        <v>61</v>
      </c>
      <c r="F3" t="s">
        <v>75</v>
      </c>
      <c r="G3" t="s">
        <v>74</v>
      </c>
      <c r="H3" t="s">
        <v>76</v>
      </c>
      <c r="I3" t="s">
        <v>77</v>
      </c>
      <c r="J3" s="2">
        <v>222.22</v>
      </c>
      <c r="K3">
        <v>11</v>
      </c>
      <c r="L3" t="s">
        <v>78</v>
      </c>
      <c r="M3">
        <v>3</v>
      </c>
      <c r="N3">
        <v>1</v>
      </c>
      <c r="O3">
        <v>2</v>
      </c>
      <c r="P3" t="s">
        <v>79</v>
      </c>
      <c r="Q3" t="s">
        <v>80</v>
      </c>
      <c r="R3">
        <v>1</v>
      </c>
      <c r="S3">
        <v>5</v>
      </c>
      <c r="T3" t="s">
        <v>74</v>
      </c>
      <c r="U3" t="s">
        <v>68</v>
      </c>
      <c r="V3" t="s">
        <v>81</v>
      </c>
      <c r="W3" s="3">
        <v>45398</v>
      </c>
      <c r="X3" t="b">
        <v>1</v>
      </c>
      <c r="Y3" t="b">
        <v>0</v>
      </c>
      <c r="Z3" t="s">
        <v>82</v>
      </c>
      <c r="AA3" t="s">
        <v>83</v>
      </c>
      <c r="AB3">
        <v>6</v>
      </c>
      <c r="AL3" t="str">
        <v>Food &amp; Beverages</v>
      </c>
      <c r="AM3">
        <v>44</v>
      </c>
      <c r="AN3">
        <f t="shared" ref="AN3:AN19" si="0">AM3/1001</f>
        <v>0.043956043956044</v>
      </c>
      <c r="AO3" t="str">
        <f>IF(B3&lt;=25,"18-25",IF(B3&lt;=40,"26-40",IF(B3&lt;=60,"41-60","Above60")))</f>
        <v>41-60</v>
      </c>
      <c r="AP3" t="str">
        <v>41-60</v>
      </c>
      <c r="AQ3">
        <f>SUMIF($AO$2:$AO$1001,AP3,$J$2:$J$1001)</f>
        <v>82063.6300000001</v>
      </c>
      <c r="AR3">
        <v>3</v>
      </c>
      <c r="AT3" t="s">
        <v>84</v>
      </c>
      <c r="AU3">
        <f>AVERAGEIF(P3:P1003,"Low",O3:O1003)</f>
        <v>1.15421686746988</v>
      </c>
      <c r="AV3" t="s">
        <v>85</v>
      </c>
      <c r="AW3">
        <f>AVERAGEIF(L3:L1003,"Online",N3:N1003)</f>
        <v>2.91616766467066</v>
      </c>
      <c r="AX3">
        <f>AVERAGEIF(L3:L1003,"Online",R3:R1003)</f>
        <v>0.970059880239521</v>
      </c>
      <c r="AY3">
        <f>AW3+AX3</f>
        <v>3.88622754491018</v>
      </c>
      <c r="AZ3" t="s">
        <v>59</v>
      </c>
      <c r="BA3">
        <f>(SUM(AB3:AB1003)/451)</f>
        <v>16.7294900221729</v>
      </c>
      <c r="BD3">
        <v>11</v>
      </c>
      <c r="BE3">
        <f>SUMIF(G3:G1003,"High",J3:J1003)</f>
        <v>140776.67</v>
      </c>
      <c r="BF3" cm="1">
        <f t="array" ref="BF3">CORREL(J3:J1003,S3:S1003)</f>
        <v>-0.0227225756333505</v>
      </c>
      <c r="BH3">
        <v>5</v>
      </c>
      <c r="BI3">
        <f t="shared" ref="BI3:BI66" si="1">K3/S3</f>
        <v>2.2</v>
      </c>
      <c r="BJ3">
        <f t="shared" ref="BJ3:BJ66" si="2">BH3/BI3</f>
        <v>2.27272727272727</v>
      </c>
    </row>
    <row r="4" spans="1:62">
      <c r="A4" s="1">
        <v>846495117</v>
      </c>
      <c r="B4">
        <v>24</v>
      </c>
      <c r="C4" t="s">
        <v>59</v>
      </c>
      <c r="D4" t="s">
        <v>60</v>
      </c>
      <c r="E4" t="s">
        <v>86</v>
      </c>
      <c r="F4" t="s">
        <v>87</v>
      </c>
      <c r="G4" t="s">
        <v>74</v>
      </c>
      <c r="H4" t="s">
        <v>88</v>
      </c>
      <c r="I4" t="s">
        <v>89</v>
      </c>
      <c r="J4" s="2">
        <v>426.22</v>
      </c>
      <c r="K4">
        <v>2</v>
      </c>
      <c r="L4" t="s">
        <v>65</v>
      </c>
      <c r="M4">
        <v>5</v>
      </c>
      <c r="N4">
        <v>5</v>
      </c>
      <c r="O4">
        <v>0.3</v>
      </c>
      <c r="P4" t="s">
        <v>84</v>
      </c>
      <c r="Q4" t="s">
        <v>80</v>
      </c>
      <c r="R4">
        <v>1</v>
      </c>
      <c r="S4">
        <v>7</v>
      </c>
      <c r="T4" t="s">
        <v>84</v>
      </c>
      <c r="U4" t="s">
        <v>90</v>
      </c>
      <c r="V4" t="s">
        <v>91</v>
      </c>
      <c r="W4" s="3">
        <v>45366</v>
      </c>
      <c r="X4" t="b">
        <v>1</v>
      </c>
      <c r="Y4" t="b">
        <v>1</v>
      </c>
      <c r="Z4" t="s">
        <v>92</v>
      </c>
      <c r="AA4" t="s">
        <v>71</v>
      </c>
      <c r="AB4">
        <v>3</v>
      </c>
      <c r="AL4" t="str">
        <v>Office Supplies</v>
      </c>
      <c r="AM4">
        <v>38</v>
      </c>
      <c r="AN4">
        <f t="shared" si="0"/>
        <v>0.037962037962038</v>
      </c>
      <c r="AO4" t="str">
        <f>IF(B4&lt;=25,"18-25",IF(B4&lt;=40,"26-40",IF(B4&lt;=60,"41-60","Above60")))</f>
        <v>18-25</v>
      </c>
      <c r="AP4" t="str">
        <v>26-40</v>
      </c>
      <c r="AQ4">
        <f>SUMIF($AO$2:$AO$1001,AP4,$J$2:$J$1001)</f>
        <v>131055.35</v>
      </c>
      <c r="AR4">
        <v>2</v>
      </c>
      <c r="AT4" t="s">
        <v>79</v>
      </c>
      <c r="AU4">
        <f>AVERAGEIF(P4:P1004,"Medium",O4:O1004)</f>
        <v>0.873744680851064</v>
      </c>
      <c r="AV4" t="s">
        <v>93</v>
      </c>
      <c r="AW4">
        <f>AVERAGEIF(L4:L1004,"In-Store",N4:N1004)</f>
        <v>3.08923076923077</v>
      </c>
      <c r="AX4">
        <f>AVERAGEIF(L4:L1004,"In-Store",R4:R1004)</f>
        <v>0.947692307692308</v>
      </c>
      <c r="AY4">
        <f>AW4+AX4</f>
        <v>4.03692307692308</v>
      </c>
      <c r="BD4">
        <v>2</v>
      </c>
      <c r="BF4" cm="1">
        <f t="array" ref="BF4">CORREL(J4:J1004,S4:S1004)</f>
        <v>-0.022780356191174</v>
      </c>
      <c r="BH4">
        <v>7</v>
      </c>
      <c r="BI4">
        <f t="shared" si="1"/>
        <v>0.285714285714286</v>
      </c>
      <c r="BJ4">
        <f t="shared" si="2"/>
        <v>24.5</v>
      </c>
    </row>
    <row r="5" spans="1:62">
      <c r="A5" s="1">
        <v>489806078</v>
      </c>
      <c r="B5">
        <v>29</v>
      </c>
      <c r="C5" t="s">
        <v>59</v>
      </c>
      <c r="D5" t="s">
        <v>60</v>
      </c>
      <c r="E5" t="s">
        <v>86</v>
      </c>
      <c r="F5" t="s">
        <v>87</v>
      </c>
      <c r="G5" t="s">
        <v>60</v>
      </c>
      <c r="H5" t="s">
        <v>94</v>
      </c>
      <c r="I5" t="s">
        <v>95</v>
      </c>
      <c r="J5" s="2">
        <v>101.31</v>
      </c>
      <c r="K5">
        <v>6</v>
      </c>
      <c r="L5" t="s">
        <v>65</v>
      </c>
      <c r="M5">
        <v>3</v>
      </c>
      <c r="N5">
        <v>1</v>
      </c>
      <c r="O5">
        <v>1</v>
      </c>
      <c r="P5" t="s">
        <v>74</v>
      </c>
      <c r="Q5" t="s">
        <v>67</v>
      </c>
      <c r="R5">
        <v>0</v>
      </c>
      <c r="S5">
        <v>1</v>
      </c>
      <c r="T5" t="s">
        <v>66</v>
      </c>
      <c r="U5" t="s">
        <v>90</v>
      </c>
      <c r="V5" t="s">
        <v>96</v>
      </c>
      <c r="W5" s="3">
        <v>45569</v>
      </c>
      <c r="X5" t="b">
        <v>1</v>
      </c>
      <c r="Y5" t="b">
        <v>1</v>
      </c>
      <c r="Z5" t="s">
        <v>70</v>
      </c>
      <c r="AA5" t="s">
        <v>97</v>
      </c>
      <c r="AB5">
        <v>10</v>
      </c>
      <c r="AL5" t="str">
        <v>Home Appliances</v>
      </c>
      <c r="AM5">
        <v>50</v>
      </c>
      <c r="AN5">
        <f t="shared" si="0"/>
        <v>0.04995004995005</v>
      </c>
      <c r="AO5" t="str">
        <f>IF(B5&lt;=25,"18-25",IF(B5&lt;=40,"26-40",IF(B5&lt;=60,"41-60","Above60")))</f>
        <v>26-40</v>
      </c>
      <c r="AR5">
        <v>1</v>
      </c>
      <c r="AT5" t="s">
        <v>74</v>
      </c>
      <c r="AU5">
        <f>AVERAGEIF(P5:P1005,"High",O5:O1005)</f>
        <v>0.987126865671642</v>
      </c>
      <c r="BD5">
        <v>6</v>
      </c>
      <c r="BF5" cm="1">
        <f t="array" ref="BF5">CORREL(J5:J1005,S5:S1005)</f>
        <v>-0.0234429679721076</v>
      </c>
      <c r="BH5">
        <v>1</v>
      </c>
      <c r="BI5">
        <f t="shared" si="1"/>
        <v>6</v>
      </c>
      <c r="BJ5">
        <f t="shared" si="2"/>
        <v>0.166666666666667</v>
      </c>
    </row>
    <row r="6" spans="1:62">
      <c r="A6" s="1">
        <v>911709072</v>
      </c>
      <c r="B6">
        <v>33</v>
      </c>
      <c r="C6" t="s">
        <v>59</v>
      </c>
      <c r="D6" t="s">
        <v>60</v>
      </c>
      <c r="E6" t="s">
        <v>98</v>
      </c>
      <c r="F6" t="s">
        <v>75</v>
      </c>
      <c r="G6" t="s">
        <v>60</v>
      </c>
      <c r="H6" t="s">
        <v>99</v>
      </c>
      <c r="I6" t="s">
        <v>100</v>
      </c>
      <c r="J6" s="2">
        <v>211.7</v>
      </c>
      <c r="K6">
        <v>6</v>
      </c>
      <c r="L6" t="s">
        <v>65</v>
      </c>
      <c r="M6">
        <v>3</v>
      </c>
      <c r="N6">
        <v>4</v>
      </c>
      <c r="O6">
        <v>0</v>
      </c>
      <c r="P6" t="s">
        <v>79</v>
      </c>
      <c r="Q6" t="s">
        <v>80</v>
      </c>
      <c r="R6">
        <v>2</v>
      </c>
      <c r="S6">
        <v>10</v>
      </c>
      <c r="T6" t="s">
        <v>66</v>
      </c>
      <c r="U6" t="s">
        <v>90</v>
      </c>
      <c r="V6" t="s">
        <v>91</v>
      </c>
      <c r="W6" s="3">
        <v>45321</v>
      </c>
      <c r="X6" t="b">
        <v>0</v>
      </c>
      <c r="Y6" t="b">
        <v>0</v>
      </c>
      <c r="Z6" t="s">
        <v>82</v>
      </c>
      <c r="AA6" t="s">
        <v>71</v>
      </c>
      <c r="AB6">
        <v>4</v>
      </c>
      <c r="AL6" t="str">
        <v>Furniture</v>
      </c>
      <c r="AM6">
        <v>41</v>
      </c>
      <c r="AN6">
        <f t="shared" si="0"/>
        <v>0.040959040959041</v>
      </c>
      <c r="AO6" t="str">
        <f t="shared" ref="AO6:AO37" si="3">IF(B6&lt;=25,"18-25",IF(B6&lt;=40,"26-40",IF(B6&lt;=60,"41-60","Above60")))</f>
        <v>26-40</v>
      </c>
      <c r="AR6">
        <v>4</v>
      </c>
      <c r="BD6">
        <v>6</v>
      </c>
      <c r="BF6" cm="1">
        <f t="array" ref="BF6">CORREL(J6:J1006,S6:S1006)</f>
        <v>-0.0255244712124596</v>
      </c>
      <c r="BH6">
        <v>10</v>
      </c>
      <c r="BI6">
        <f t="shared" si="1"/>
        <v>0.6</v>
      </c>
      <c r="BJ6">
        <f t="shared" si="2"/>
        <v>16.6666666666667</v>
      </c>
    </row>
    <row r="7" spans="1:62">
      <c r="A7" s="1">
        <v>825614233</v>
      </c>
      <c r="B7">
        <v>45</v>
      </c>
      <c r="C7" t="s">
        <v>73</v>
      </c>
      <c r="D7" t="s">
        <v>60</v>
      </c>
      <c r="E7" t="s">
        <v>61</v>
      </c>
      <c r="F7" t="s">
        <v>87</v>
      </c>
      <c r="G7" t="s">
        <v>74</v>
      </c>
      <c r="H7" t="s">
        <v>101</v>
      </c>
      <c r="I7" t="s">
        <v>89</v>
      </c>
      <c r="J7" s="2">
        <v>487.95</v>
      </c>
      <c r="K7">
        <v>8</v>
      </c>
      <c r="L7" t="s">
        <v>65</v>
      </c>
      <c r="M7">
        <v>3</v>
      </c>
      <c r="N7">
        <v>3</v>
      </c>
      <c r="O7">
        <v>0</v>
      </c>
      <c r="P7" t="s">
        <v>74</v>
      </c>
      <c r="Q7" t="s">
        <v>80</v>
      </c>
      <c r="R7">
        <v>2</v>
      </c>
      <c r="S7">
        <v>3</v>
      </c>
      <c r="T7" t="s">
        <v>66</v>
      </c>
      <c r="U7" t="s">
        <v>68</v>
      </c>
      <c r="V7" t="s">
        <v>91</v>
      </c>
      <c r="W7" s="3">
        <v>45370</v>
      </c>
      <c r="X7" t="b">
        <v>0</v>
      </c>
      <c r="Y7" t="b">
        <v>0</v>
      </c>
      <c r="Z7" t="s">
        <v>102</v>
      </c>
      <c r="AA7" t="s">
        <v>71</v>
      </c>
      <c r="AB7">
        <v>7</v>
      </c>
      <c r="AL7" t="str">
        <v>Books</v>
      </c>
      <c r="AM7">
        <v>37</v>
      </c>
      <c r="AN7">
        <f t="shared" si="0"/>
        <v>0.036963036963037</v>
      </c>
      <c r="AO7" t="str">
        <f t="shared" si="3"/>
        <v>41-60</v>
      </c>
      <c r="BD7">
        <v>8</v>
      </c>
      <c r="BF7" cm="1">
        <f t="array" ref="BF7">CORREL(J7:J1007,S7:S1007)</f>
        <v>-0.0247827165646588</v>
      </c>
      <c r="BH7">
        <v>3</v>
      </c>
      <c r="BI7">
        <f t="shared" si="1"/>
        <v>2.66666666666667</v>
      </c>
      <c r="BJ7">
        <f t="shared" si="2"/>
        <v>1.125</v>
      </c>
    </row>
    <row r="8" spans="1:62">
      <c r="A8" s="1">
        <v>901449193</v>
      </c>
      <c r="B8">
        <v>21</v>
      </c>
      <c r="C8" t="s">
        <v>59</v>
      </c>
      <c r="D8" t="s">
        <v>60</v>
      </c>
      <c r="E8" t="s">
        <v>103</v>
      </c>
      <c r="F8" t="s">
        <v>75</v>
      </c>
      <c r="G8" t="s">
        <v>60</v>
      </c>
      <c r="H8" t="s">
        <v>104</v>
      </c>
      <c r="I8" t="s">
        <v>100</v>
      </c>
      <c r="J8" s="2">
        <v>486.4</v>
      </c>
      <c r="K8">
        <v>12</v>
      </c>
      <c r="L8" t="s">
        <v>85</v>
      </c>
      <c r="M8">
        <v>2</v>
      </c>
      <c r="N8">
        <v>5</v>
      </c>
      <c r="O8">
        <v>1</v>
      </c>
      <c r="P8" t="s">
        <v>74</v>
      </c>
      <c r="Q8" t="s">
        <v>67</v>
      </c>
      <c r="R8">
        <v>0</v>
      </c>
      <c r="S8">
        <v>9</v>
      </c>
      <c r="T8" t="s">
        <v>84</v>
      </c>
      <c r="U8" t="s">
        <v>105</v>
      </c>
      <c r="V8" t="s">
        <v>91</v>
      </c>
      <c r="W8" s="3">
        <v>45366</v>
      </c>
      <c r="X8" t="b">
        <v>1</v>
      </c>
      <c r="Y8" t="b">
        <v>0</v>
      </c>
      <c r="Z8" t="s">
        <v>70</v>
      </c>
      <c r="AA8" t="s">
        <v>97</v>
      </c>
      <c r="AB8">
        <v>13</v>
      </c>
      <c r="AL8" t="str">
        <v>Sports &amp; Outdoors</v>
      </c>
      <c r="AM8">
        <v>51</v>
      </c>
      <c r="AN8">
        <f t="shared" si="0"/>
        <v>0.050949050949051</v>
      </c>
      <c r="AO8" t="str">
        <f t="shared" si="3"/>
        <v>18-25</v>
      </c>
      <c r="BD8">
        <v>12</v>
      </c>
      <c r="BF8" cm="1">
        <f t="array" ref="BF8">CORREL(J8:J1008,S8:S1008)</f>
        <v>-0.023461458837242</v>
      </c>
      <c r="BH8">
        <v>9</v>
      </c>
      <c r="BI8">
        <f t="shared" si="1"/>
        <v>1.33333333333333</v>
      </c>
      <c r="BJ8">
        <f t="shared" si="2"/>
        <v>6.75</v>
      </c>
    </row>
    <row r="9" spans="1:62">
      <c r="A9" s="1">
        <v>886614689</v>
      </c>
      <c r="B9">
        <v>39</v>
      </c>
      <c r="C9" t="s">
        <v>73</v>
      </c>
      <c r="D9" t="s">
        <v>60</v>
      </c>
      <c r="E9" t="s">
        <v>86</v>
      </c>
      <c r="F9" t="s">
        <v>75</v>
      </c>
      <c r="G9" t="s">
        <v>60</v>
      </c>
      <c r="H9" t="s">
        <v>106</v>
      </c>
      <c r="I9" t="s">
        <v>107</v>
      </c>
      <c r="J9" s="2">
        <v>218.06</v>
      </c>
      <c r="K9">
        <v>6</v>
      </c>
      <c r="L9" t="s">
        <v>85</v>
      </c>
      <c r="M9">
        <v>5</v>
      </c>
      <c r="N9">
        <v>4</v>
      </c>
      <c r="O9">
        <v>1</v>
      </c>
      <c r="P9" t="s">
        <v>84</v>
      </c>
      <c r="Q9" t="s">
        <v>67</v>
      </c>
      <c r="R9">
        <v>2</v>
      </c>
      <c r="S9">
        <v>9</v>
      </c>
      <c r="T9" t="s">
        <v>66</v>
      </c>
      <c r="U9" t="s">
        <v>105</v>
      </c>
      <c r="V9" t="s">
        <v>69</v>
      </c>
      <c r="W9" s="3">
        <v>45368</v>
      </c>
      <c r="X9" t="b">
        <v>0</v>
      </c>
      <c r="Y9" t="b">
        <v>1</v>
      </c>
      <c r="Z9" t="s">
        <v>92</v>
      </c>
      <c r="AA9" t="s">
        <v>71</v>
      </c>
      <c r="AB9">
        <v>13</v>
      </c>
      <c r="AL9" t="str">
        <v>Mobile Accessories</v>
      </c>
      <c r="AM9">
        <v>41</v>
      </c>
      <c r="AN9">
        <f t="shared" si="0"/>
        <v>0.040959040959041</v>
      </c>
      <c r="AO9" t="str">
        <f t="shared" si="3"/>
        <v>26-40</v>
      </c>
      <c r="BD9">
        <v>6</v>
      </c>
      <c r="BF9" cm="1">
        <f t="array" ref="BF9">CORREL(J9:J1009,S9:S1009)</f>
        <v>-0.0255505601710437</v>
      </c>
      <c r="BH9">
        <v>9</v>
      </c>
      <c r="BI9">
        <f t="shared" si="1"/>
        <v>0.666666666666667</v>
      </c>
      <c r="BJ9">
        <f t="shared" si="2"/>
        <v>13.5</v>
      </c>
    </row>
    <row r="10" spans="1:62">
      <c r="A10" s="1">
        <v>370653182</v>
      </c>
      <c r="B10">
        <v>24</v>
      </c>
      <c r="C10" t="s">
        <v>59</v>
      </c>
      <c r="D10" t="s">
        <v>74</v>
      </c>
      <c r="E10" t="s">
        <v>103</v>
      </c>
      <c r="F10" t="s">
        <v>87</v>
      </c>
      <c r="G10" t="s">
        <v>60</v>
      </c>
      <c r="H10" t="s">
        <v>108</v>
      </c>
      <c r="I10" t="s">
        <v>89</v>
      </c>
      <c r="J10" s="2">
        <v>201.96</v>
      </c>
      <c r="K10">
        <v>8</v>
      </c>
      <c r="L10" t="s">
        <v>78</v>
      </c>
      <c r="M10">
        <v>3</v>
      </c>
      <c r="N10">
        <v>5</v>
      </c>
      <c r="O10">
        <v>0</v>
      </c>
      <c r="P10" t="s">
        <v>84</v>
      </c>
      <c r="Q10" t="s">
        <v>109</v>
      </c>
      <c r="R10">
        <v>1</v>
      </c>
      <c r="S10">
        <v>2</v>
      </c>
      <c r="T10" t="s">
        <v>74</v>
      </c>
      <c r="U10" t="s">
        <v>105</v>
      </c>
      <c r="V10" t="s">
        <v>110</v>
      </c>
      <c r="W10" s="3">
        <v>45453</v>
      </c>
      <c r="X10" t="b">
        <v>0</v>
      </c>
      <c r="Y10" t="b">
        <v>0</v>
      </c>
      <c r="Z10" t="s">
        <v>70</v>
      </c>
      <c r="AA10" t="s">
        <v>83</v>
      </c>
      <c r="AB10">
        <v>7</v>
      </c>
      <c r="AL10" t="str">
        <v>Luxury Goods</v>
      </c>
      <c r="AM10">
        <v>37</v>
      </c>
      <c r="AN10">
        <f t="shared" si="0"/>
        <v>0.036963036963037</v>
      </c>
      <c r="AO10" t="str">
        <f t="shared" si="3"/>
        <v>18-25</v>
      </c>
      <c r="BD10">
        <v>8</v>
      </c>
      <c r="BF10" cm="1">
        <f t="array" ref="BF10">CORREL(J10:J1010,S10:S1010)</f>
        <v>-0.0250258266811983</v>
      </c>
      <c r="BH10">
        <v>2</v>
      </c>
      <c r="BI10">
        <f t="shared" si="1"/>
        <v>4</v>
      </c>
      <c r="BJ10">
        <f t="shared" si="2"/>
        <v>0.5</v>
      </c>
    </row>
    <row r="11" spans="1:62">
      <c r="A11" s="1">
        <v>848949222</v>
      </c>
      <c r="B11">
        <v>25</v>
      </c>
      <c r="C11" t="s">
        <v>111</v>
      </c>
      <c r="D11" t="s">
        <v>74</v>
      </c>
      <c r="E11" t="s">
        <v>61</v>
      </c>
      <c r="F11" t="s">
        <v>62</v>
      </c>
      <c r="G11" t="s">
        <v>74</v>
      </c>
      <c r="H11" t="s">
        <v>112</v>
      </c>
      <c r="I11" t="s">
        <v>113</v>
      </c>
      <c r="J11" s="2">
        <v>418.83</v>
      </c>
      <c r="K11">
        <v>7</v>
      </c>
      <c r="L11" t="s">
        <v>85</v>
      </c>
      <c r="M11">
        <v>2</v>
      </c>
      <c r="N11">
        <v>5</v>
      </c>
      <c r="O11">
        <v>1</v>
      </c>
      <c r="P11" t="s">
        <v>66</v>
      </c>
      <c r="Q11" t="s">
        <v>67</v>
      </c>
      <c r="R11">
        <v>1</v>
      </c>
      <c r="S11">
        <v>5</v>
      </c>
      <c r="T11" t="s">
        <v>79</v>
      </c>
      <c r="U11" t="s">
        <v>68</v>
      </c>
      <c r="V11" t="s">
        <v>81</v>
      </c>
      <c r="W11" s="3">
        <v>45572</v>
      </c>
      <c r="X11" t="b">
        <v>1</v>
      </c>
      <c r="Y11" t="b">
        <v>0</v>
      </c>
      <c r="Z11" t="s">
        <v>70</v>
      </c>
      <c r="AA11" t="s">
        <v>71</v>
      </c>
      <c r="AB11">
        <v>13</v>
      </c>
      <c r="AL11" t="str">
        <v>Animal Feed</v>
      </c>
      <c r="AM11">
        <v>44</v>
      </c>
      <c r="AN11">
        <f t="shared" si="0"/>
        <v>0.043956043956044</v>
      </c>
      <c r="AO11" t="str">
        <f t="shared" si="3"/>
        <v>18-25</v>
      </c>
      <c r="BD11">
        <v>7</v>
      </c>
      <c r="BF11" cm="1">
        <f t="array" ref="BF11">CORREL(J11:J1011,S11:S1011)</f>
        <v>-0.0257098797091219</v>
      </c>
      <c r="BH11">
        <v>5</v>
      </c>
      <c r="BI11">
        <f t="shared" si="1"/>
        <v>1.4</v>
      </c>
      <c r="BJ11">
        <f t="shared" si="2"/>
        <v>3.57142857142857</v>
      </c>
    </row>
    <row r="12" spans="1:62">
      <c r="A12" s="1">
        <v>446744037</v>
      </c>
      <c r="B12">
        <v>33</v>
      </c>
      <c r="C12" t="s">
        <v>73</v>
      </c>
      <c r="D12" t="s">
        <v>60</v>
      </c>
      <c r="E12" t="s">
        <v>103</v>
      </c>
      <c r="F12" t="s">
        <v>62</v>
      </c>
      <c r="G12" t="s">
        <v>60</v>
      </c>
      <c r="H12" t="s">
        <v>114</v>
      </c>
      <c r="I12" t="s">
        <v>115</v>
      </c>
      <c r="J12" s="2">
        <v>389.7</v>
      </c>
      <c r="K12">
        <v>12</v>
      </c>
      <c r="L12" t="s">
        <v>78</v>
      </c>
      <c r="M12">
        <v>1</v>
      </c>
      <c r="N12">
        <v>4</v>
      </c>
      <c r="O12">
        <v>0.5</v>
      </c>
      <c r="P12" t="s">
        <v>84</v>
      </c>
      <c r="Q12" t="s">
        <v>80</v>
      </c>
      <c r="R12">
        <v>0</v>
      </c>
      <c r="S12">
        <v>4</v>
      </c>
      <c r="T12" t="s">
        <v>74</v>
      </c>
      <c r="U12" t="s">
        <v>105</v>
      </c>
      <c r="V12" t="s">
        <v>81</v>
      </c>
      <c r="W12" s="3">
        <v>45475</v>
      </c>
      <c r="X12" t="b">
        <v>1</v>
      </c>
      <c r="Y12" t="b">
        <v>0</v>
      </c>
      <c r="Z12" t="s">
        <v>102</v>
      </c>
      <c r="AA12" t="s">
        <v>97</v>
      </c>
      <c r="AB12">
        <v>12</v>
      </c>
      <c r="AL12" t="str">
        <v>Health Care</v>
      </c>
      <c r="AM12">
        <v>41</v>
      </c>
      <c r="AN12">
        <f t="shared" si="0"/>
        <v>0.040959040959041</v>
      </c>
      <c r="AO12" t="str">
        <f t="shared" si="3"/>
        <v>26-40</v>
      </c>
      <c r="BD12">
        <v>12</v>
      </c>
      <c r="BF12" cm="1">
        <f t="array" ref="BF12">CORREL(J12:J1012,S12:S1012)</f>
        <v>-0.0255732174973121</v>
      </c>
      <c r="BH12">
        <v>4</v>
      </c>
      <c r="BI12">
        <f t="shared" si="1"/>
        <v>3</v>
      </c>
      <c r="BJ12">
        <f t="shared" si="2"/>
        <v>1.33333333333333</v>
      </c>
    </row>
    <row r="13" spans="1:62">
      <c r="A13" s="1">
        <v>781168349</v>
      </c>
      <c r="B13">
        <v>38</v>
      </c>
      <c r="C13" t="s">
        <v>59</v>
      </c>
      <c r="D13" t="s">
        <v>74</v>
      </c>
      <c r="E13" t="s">
        <v>98</v>
      </c>
      <c r="F13" t="s">
        <v>62</v>
      </c>
      <c r="G13" t="s">
        <v>60</v>
      </c>
      <c r="H13" t="s">
        <v>116</v>
      </c>
      <c r="I13" t="s">
        <v>113</v>
      </c>
      <c r="J13" s="2">
        <v>238.93</v>
      </c>
      <c r="K13">
        <v>5</v>
      </c>
      <c r="L13" t="s">
        <v>85</v>
      </c>
      <c r="M13">
        <v>4</v>
      </c>
      <c r="N13">
        <v>3</v>
      </c>
      <c r="O13">
        <v>1</v>
      </c>
      <c r="P13" t="s">
        <v>79</v>
      </c>
      <c r="Q13" t="s">
        <v>109</v>
      </c>
      <c r="R13">
        <v>0</v>
      </c>
      <c r="S13">
        <v>10</v>
      </c>
      <c r="T13" t="s">
        <v>74</v>
      </c>
      <c r="U13" t="s">
        <v>68</v>
      </c>
      <c r="V13" t="s">
        <v>110</v>
      </c>
      <c r="W13" s="3">
        <v>45653</v>
      </c>
      <c r="X13" t="b">
        <v>1</v>
      </c>
      <c r="Y13" t="b">
        <v>0</v>
      </c>
      <c r="Z13" t="s">
        <v>102</v>
      </c>
      <c r="AA13" t="s">
        <v>71</v>
      </c>
      <c r="AB13">
        <v>1</v>
      </c>
      <c r="AL13" t="str">
        <v>Hotels</v>
      </c>
      <c r="AM13">
        <v>36</v>
      </c>
      <c r="AN13">
        <f t="shared" si="0"/>
        <v>0.035964035964036</v>
      </c>
      <c r="AO13" t="str">
        <f t="shared" si="3"/>
        <v>26-40</v>
      </c>
      <c r="BD13">
        <v>5</v>
      </c>
      <c r="BF13" cm="1">
        <f t="array" ref="BF13">CORREL(J13:J1013,S13:S1013)</f>
        <v>-0.0251553272327393</v>
      </c>
      <c r="BH13">
        <v>10</v>
      </c>
      <c r="BI13">
        <f t="shared" si="1"/>
        <v>0.5</v>
      </c>
      <c r="BJ13">
        <f t="shared" si="2"/>
        <v>20</v>
      </c>
    </row>
    <row r="14" spans="1:62">
      <c r="A14" s="1">
        <v>199338095</v>
      </c>
      <c r="B14">
        <v>34</v>
      </c>
      <c r="C14" t="s">
        <v>73</v>
      </c>
      <c r="D14" t="s">
        <v>60</v>
      </c>
      <c r="E14" t="s">
        <v>86</v>
      </c>
      <c r="F14" t="s">
        <v>62</v>
      </c>
      <c r="G14" t="s">
        <v>74</v>
      </c>
      <c r="H14" t="s">
        <v>117</v>
      </c>
      <c r="I14" t="s">
        <v>118</v>
      </c>
      <c r="J14" s="2">
        <v>61.22</v>
      </c>
      <c r="K14">
        <v>7</v>
      </c>
      <c r="L14" t="s">
        <v>78</v>
      </c>
      <c r="M14">
        <v>5</v>
      </c>
      <c r="N14">
        <v>2</v>
      </c>
      <c r="O14">
        <v>2</v>
      </c>
      <c r="P14" t="s">
        <v>84</v>
      </c>
      <c r="Q14" t="s">
        <v>109</v>
      </c>
      <c r="R14">
        <v>1</v>
      </c>
      <c r="S14">
        <v>7</v>
      </c>
      <c r="T14" t="s">
        <v>74</v>
      </c>
      <c r="U14" t="s">
        <v>105</v>
      </c>
      <c r="V14" t="s">
        <v>91</v>
      </c>
      <c r="W14" s="3">
        <v>45509</v>
      </c>
      <c r="X14" t="b">
        <v>1</v>
      </c>
      <c r="Y14" t="b">
        <v>1</v>
      </c>
      <c r="Z14" t="s">
        <v>70</v>
      </c>
      <c r="AA14" t="s">
        <v>71</v>
      </c>
      <c r="AB14">
        <v>5</v>
      </c>
      <c r="AL14" t="str">
        <v>Packages)</v>
      </c>
      <c r="AM14">
        <v>43</v>
      </c>
      <c r="AN14">
        <f t="shared" si="0"/>
        <v>0.042957042957043</v>
      </c>
      <c r="AO14" t="str">
        <f t="shared" si="3"/>
        <v>26-40</v>
      </c>
      <c r="BD14">
        <v>7</v>
      </c>
      <c r="BF14" cm="1">
        <f t="array" ref="BF14">CORREL(J14:J1014,S14:S1014)</f>
        <v>-0.024747678763586</v>
      </c>
      <c r="BH14">
        <v>7</v>
      </c>
      <c r="BI14">
        <f t="shared" si="1"/>
        <v>1</v>
      </c>
      <c r="BJ14">
        <f t="shared" si="2"/>
        <v>7</v>
      </c>
    </row>
    <row r="15" spans="1:62">
      <c r="A15" s="1">
        <v>806845072</v>
      </c>
      <c r="B15">
        <v>32</v>
      </c>
      <c r="C15" t="s">
        <v>73</v>
      </c>
      <c r="D15" t="s">
        <v>74</v>
      </c>
      <c r="E15" t="s">
        <v>61</v>
      </c>
      <c r="F15" t="s">
        <v>75</v>
      </c>
      <c r="G15" t="s">
        <v>60</v>
      </c>
      <c r="H15" t="s">
        <v>119</v>
      </c>
      <c r="I15" t="s">
        <v>120</v>
      </c>
      <c r="J15" s="2">
        <v>79.81</v>
      </c>
      <c r="K15">
        <v>4</v>
      </c>
      <c r="L15" t="s">
        <v>65</v>
      </c>
      <c r="M15">
        <v>5</v>
      </c>
      <c r="N15">
        <v>5</v>
      </c>
      <c r="O15">
        <v>0</v>
      </c>
      <c r="P15" t="s">
        <v>74</v>
      </c>
      <c r="Q15" t="s">
        <v>80</v>
      </c>
      <c r="R15">
        <v>0</v>
      </c>
      <c r="S15">
        <v>9</v>
      </c>
      <c r="T15" t="s">
        <v>74</v>
      </c>
      <c r="U15" t="s">
        <v>90</v>
      </c>
      <c r="V15" t="s">
        <v>91</v>
      </c>
      <c r="W15" s="3">
        <v>45489</v>
      </c>
      <c r="X15" t="b">
        <v>0</v>
      </c>
      <c r="Y15" t="b">
        <v>1</v>
      </c>
      <c r="Z15" t="s">
        <v>82</v>
      </c>
      <c r="AA15" t="s">
        <v>83</v>
      </c>
      <c r="AB15">
        <v>14</v>
      </c>
      <c r="AL15" t="str">
        <v>Electronics</v>
      </c>
      <c r="AM15">
        <v>54</v>
      </c>
      <c r="AN15">
        <f t="shared" si="0"/>
        <v>0.0539460539460539</v>
      </c>
      <c r="AO15" t="str">
        <f t="shared" si="3"/>
        <v>26-40</v>
      </c>
      <c r="BD15">
        <v>4</v>
      </c>
      <c r="BF15" cm="1">
        <f t="array" ref="BF15">CORREL(J15:J1015,S15:S1015)</f>
        <v>-0.0238602561567772</v>
      </c>
      <c r="BH15">
        <v>9</v>
      </c>
      <c r="BI15">
        <f t="shared" si="1"/>
        <v>0.444444444444444</v>
      </c>
      <c r="BJ15">
        <f t="shared" si="2"/>
        <v>20.25</v>
      </c>
    </row>
    <row r="16" spans="1:62">
      <c r="A16" s="1">
        <v>233027502</v>
      </c>
      <c r="B16">
        <v>30</v>
      </c>
      <c r="C16" t="s">
        <v>59</v>
      </c>
      <c r="D16" t="s">
        <v>74</v>
      </c>
      <c r="E16" t="s">
        <v>98</v>
      </c>
      <c r="F16" t="s">
        <v>75</v>
      </c>
      <c r="G16" t="s">
        <v>74</v>
      </c>
      <c r="H16" t="s">
        <v>121</v>
      </c>
      <c r="I16" t="s">
        <v>122</v>
      </c>
      <c r="J16" s="2">
        <v>58.51</v>
      </c>
      <c r="K16">
        <v>2</v>
      </c>
      <c r="L16" t="s">
        <v>85</v>
      </c>
      <c r="M16">
        <v>4</v>
      </c>
      <c r="N16">
        <v>4</v>
      </c>
      <c r="O16">
        <v>0.5</v>
      </c>
      <c r="P16" t="s">
        <v>66</v>
      </c>
      <c r="Q16" t="s">
        <v>80</v>
      </c>
      <c r="R16">
        <v>0</v>
      </c>
      <c r="S16">
        <v>4</v>
      </c>
      <c r="T16" t="s">
        <v>79</v>
      </c>
      <c r="U16" t="s">
        <v>105</v>
      </c>
      <c r="V16" t="s">
        <v>81</v>
      </c>
      <c r="W16" s="3">
        <v>45640</v>
      </c>
      <c r="X16" t="b">
        <v>1</v>
      </c>
      <c r="Y16" t="b">
        <v>1</v>
      </c>
      <c r="Z16" t="s">
        <v>102</v>
      </c>
      <c r="AA16" t="s">
        <v>71</v>
      </c>
      <c r="AB16">
        <v>14</v>
      </c>
      <c r="AL16" t="str">
        <v>Software &amp; Apps</v>
      </c>
      <c r="AM16">
        <v>43</v>
      </c>
      <c r="AN16">
        <f t="shared" si="0"/>
        <v>0.042957042957043</v>
      </c>
      <c r="AO16" t="str">
        <f t="shared" si="3"/>
        <v>26-40</v>
      </c>
      <c r="BD16">
        <v>2</v>
      </c>
      <c r="BF16" cm="1">
        <f t="array" ref="BF16">CORREL(J16:J1016,S16:S1016)</f>
        <v>-0.0220061972004505</v>
      </c>
      <c r="BH16">
        <v>4</v>
      </c>
      <c r="BI16">
        <f t="shared" si="1"/>
        <v>0.5</v>
      </c>
      <c r="BJ16">
        <f t="shared" si="2"/>
        <v>8</v>
      </c>
    </row>
    <row r="17" spans="1:62">
      <c r="A17" s="1">
        <v>900698934</v>
      </c>
      <c r="B17">
        <v>40</v>
      </c>
      <c r="C17" t="s">
        <v>73</v>
      </c>
      <c r="D17" t="s">
        <v>74</v>
      </c>
      <c r="E17" t="s">
        <v>103</v>
      </c>
      <c r="F17" t="s">
        <v>87</v>
      </c>
      <c r="G17" t="s">
        <v>74</v>
      </c>
      <c r="H17" t="s">
        <v>123</v>
      </c>
      <c r="I17" t="s">
        <v>124</v>
      </c>
      <c r="J17" s="2">
        <v>109.29</v>
      </c>
      <c r="K17">
        <v>3</v>
      </c>
      <c r="L17" t="s">
        <v>85</v>
      </c>
      <c r="M17">
        <v>3</v>
      </c>
      <c r="N17">
        <v>4</v>
      </c>
      <c r="O17">
        <v>0</v>
      </c>
      <c r="P17" t="s">
        <v>79</v>
      </c>
      <c r="Q17" t="s">
        <v>67</v>
      </c>
      <c r="R17">
        <v>2</v>
      </c>
      <c r="S17">
        <v>2</v>
      </c>
      <c r="T17" t="s">
        <v>74</v>
      </c>
      <c r="U17" t="s">
        <v>105</v>
      </c>
      <c r="V17" t="s">
        <v>91</v>
      </c>
      <c r="W17" s="3">
        <v>45515</v>
      </c>
      <c r="X17" t="b">
        <v>0</v>
      </c>
      <c r="Y17" t="b">
        <v>1</v>
      </c>
      <c r="Z17" t="s">
        <v>82</v>
      </c>
      <c r="AA17" t="s">
        <v>97</v>
      </c>
      <c r="AB17">
        <v>11</v>
      </c>
      <c r="AL17" t="str">
        <v>Baby Products</v>
      </c>
      <c r="AM17">
        <v>41</v>
      </c>
      <c r="AN17">
        <f t="shared" si="0"/>
        <v>0.040959040959041</v>
      </c>
      <c r="AO17" t="str">
        <f t="shared" si="3"/>
        <v>26-40</v>
      </c>
      <c r="BD17">
        <v>3</v>
      </c>
      <c r="BF17" cm="1">
        <f t="array" ref="BF17">CORREL(J17:J1017,S17:S1017)</f>
        <v>-0.0228506098519289</v>
      </c>
      <c r="BH17">
        <v>2</v>
      </c>
      <c r="BI17">
        <f t="shared" si="1"/>
        <v>1.5</v>
      </c>
      <c r="BJ17">
        <f t="shared" si="2"/>
        <v>1.33333333333333</v>
      </c>
    </row>
    <row r="18" spans="1:62">
      <c r="A18" s="1">
        <v>450737243</v>
      </c>
      <c r="B18">
        <v>37</v>
      </c>
      <c r="C18" t="s">
        <v>73</v>
      </c>
      <c r="D18" t="s">
        <v>74</v>
      </c>
      <c r="E18" t="s">
        <v>86</v>
      </c>
      <c r="F18" t="s">
        <v>62</v>
      </c>
      <c r="G18" t="s">
        <v>74</v>
      </c>
      <c r="H18" t="s">
        <v>125</v>
      </c>
      <c r="I18" t="s">
        <v>100</v>
      </c>
      <c r="J18" s="2">
        <v>356.45</v>
      </c>
      <c r="K18">
        <v>6</v>
      </c>
      <c r="L18" t="s">
        <v>65</v>
      </c>
      <c r="M18">
        <v>5</v>
      </c>
      <c r="N18">
        <v>5</v>
      </c>
      <c r="O18">
        <v>2</v>
      </c>
      <c r="P18" t="s">
        <v>84</v>
      </c>
      <c r="Q18" t="s">
        <v>109</v>
      </c>
      <c r="R18">
        <v>0</v>
      </c>
      <c r="S18">
        <v>7</v>
      </c>
      <c r="T18" t="s">
        <v>79</v>
      </c>
      <c r="U18" t="s">
        <v>90</v>
      </c>
      <c r="V18" t="s">
        <v>69</v>
      </c>
      <c r="W18" s="3">
        <v>45583</v>
      </c>
      <c r="X18" t="b">
        <v>0</v>
      </c>
      <c r="Y18" t="b">
        <v>1</v>
      </c>
      <c r="Z18" t="s">
        <v>102</v>
      </c>
      <c r="AA18" t="s">
        <v>83</v>
      </c>
      <c r="AB18">
        <v>8</v>
      </c>
      <c r="AL18" t="str">
        <v>Toys &amp; Games</v>
      </c>
      <c r="AM18">
        <v>47</v>
      </c>
      <c r="AN18">
        <f t="shared" si="0"/>
        <v>0.046953046953047</v>
      </c>
      <c r="AO18" t="str">
        <f t="shared" si="3"/>
        <v>26-40</v>
      </c>
      <c r="BD18">
        <v>6</v>
      </c>
      <c r="BF18" cm="1">
        <f t="array" ref="BF18">CORREL(J18:J1018,S18:S1018)</f>
        <v>-0.0244074600492295</v>
      </c>
      <c r="BH18">
        <v>7</v>
      </c>
      <c r="BI18">
        <f t="shared" si="1"/>
        <v>0.857142857142857</v>
      </c>
      <c r="BJ18">
        <f t="shared" si="2"/>
        <v>8.16666666666667</v>
      </c>
    </row>
    <row r="19" spans="1:62">
      <c r="A19" s="1">
        <v>898832101</v>
      </c>
      <c r="B19">
        <v>38</v>
      </c>
      <c r="C19" t="s">
        <v>59</v>
      </c>
      <c r="D19" t="s">
        <v>60</v>
      </c>
      <c r="E19" t="s">
        <v>103</v>
      </c>
      <c r="F19" t="s">
        <v>62</v>
      </c>
      <c r="G19" t="s">
        <v>74</v>
      </c>
      <c r="H19" t="s">
        <v>126</v>
      </c>
      <c r="I19" t="s">
        <v>115</v>
      </c>
      <c r="J19" s="2">
        <v>236.99</v>
      </c>
      <c r="K19">
        <v>10</v>
      </c>
      <c r="L19" t="s">
        <v>65</v>
      </c>
      <c r="M19">
        <v>2</v>
      </c>
      <c r="N19">
        <v>4</v>
      </c>
      <c r="O19">
        <v>0</v>
      </c>
      <c r="P19" t="s">
        <v>74</v>
      </c>
      <c r="Q19" t="s">
        <v>109</v>
      </c>
      <c r="R19">
        <v>0</v>
      </c>
      <c r="S19">
        <v>8</v>
      </c>
      <c r="T19" t="s">
        <v>66</v>
      </c>
      <c r="U19" t="s">
        <v>68</v>
      </c>
      <c r="V19" t="s">
        <v>81</v>
      </c>
      <c r="W19" s="3">
        <v>45635</v>
      </c>
      <c r="X19" t="b">
        <v>1</v>
      </c>
      <c r="Y19" t="b">
        <v>1</v>
      </c>
      <c r="Z19" t="s">
        <v>92</v>
      </c>
      <c r="AA19" t="s">
        <v>71</v>
      </c>
      <c r="AB19">
        <v>13</v>
      </c>
      <c r="AL19" t="str">
        <v>Arts &amp; Crafts</v>
      </c>
      <c r="AM19">
        <v>34</v>
      </c>
      <c r="AN19">
        <f t="shared" si="0"/>
        <v>0.033966033966034</v>
      </c>
      <c r="AO19" t="str">
        <f t="shared" si="3"/>
        <v>26-40</v>
      </c>
      <c r="BD19">
        <v>10</v>
      </c>
      <c r="BF19" cm="1">
        <f t="array" ref="BF19">CORREL(J19:J1019,S19:S1019)</f>
        <v>-0.0247690809170679</v>
      </c>
      <c r="BH19">
        <v>8</v>
      </c>
      <c r="BI19">
        <f t="shared" si="1"/>
        <v>1.25</v>
      </c>
      <c r="BJ19">
        <f t="shared" si="2"/>
        <v>6.4</v>
      </c>
    </row>
    <row r="20" spans="1:62">
      <c r="A20" s="4" t="s">
        <v>127</v>
      </c>
      <c r="B20">
        <v>36</v>
      </c>
      <c r="C20" t="s">
        <v>73</v>
      </c>
      <c r="D20" t="s">
        <v>60</v>
      </c>
      <c r="E20" t="s">
        <v>98</v>
      </c>
      <c r="F20" t="s">
        <v>62</v>
      </c>
      <c r="G20" t="s">
        <v>74</v>
      </c>
      <c r="H20" t="s">
        <v>128</v>
      </c>
      <c r="I20" t="s">
        <v>129</v>
      </c>
      <c r="J20" s="2">
        <v>454.39</v>
      </c>
      <c r="K20">
        <v>10</v>
      </c>
      <c r="L20" t="s">
        <v>78</v>
      </c>
      <c r="M20">
        <v>2</v>
      </c>
      <c r="N20">
        <v>4</v>
      </c>
      <c r="O20">
        <v>2</v>
      </c>
      <c r="P20" t="s">
        <v>79</v>
      </c>
      <c r="Q20" t="s">
        <v>80</v>
      </c>
      <c r="R20">
        <v>0</v>
      </c>
      <c r="S20">
        <v>3</v>
      </c>
      <c r="T20" t="s">
        <v>66</v>
      </c>
      <c r="U20" t="s">
        <v>105</v>
      </c>
      <c r="V20" t="s">
        <v>96</v>
      </c>
      <c r="W20" s="3">
        <v>45496</v>
      </c>
      <c r="X20" t="b">
        <v>0</v>
      </c>
      <c r="Y20" t="b">
        <v>1</v>
      </c>
      <c r="Z20" t="s">
        <v>92</v>
      </c>
      <c r="AA20" t="s">
        <v>83</v>
      </c>
      <c r="AB20">
        <v>3</v>
      </c>
      <c r="AL20" t="str">
        <v>Health Supplements</v>
      </c>
      <c r="AM20">
        <v>41</v>
      </c>
      <c r="AN20">
        <f t="shared" ref="AN20:AN25" si="4">AM20/1001</f>
        <v>0.040959040959041</v>
      </c>
      <c r="AO20" t="str">
        <f t="shared" si="3"/>
        <v>26-40</v>
      </c>
      <c r="BD20">
        <v>10</v>
      </c>
      <c r="BF20" cm="1">
        <f t="array" ref="BF20">CORREL(J20:J1020,S20:S1020)</f>
        <v>-0.0245094038005901</v>
      </c>
      <c r="BH20">
        <v>3</v>
      </c>
      <c r="BI20">
        <f t="shared" si="1"/>
        <v>3.33333333333333</v>
      </c>
      <c r="BJ20">
        <f t="shared" si="2"/>
        <v>0.9</v>
      </c>
    </row>
    <row r="21" spans="1:62">
      <c r="A21" s="1">
        <v>671597366</v>
      </c>
      <c r="B21">
        <v>29</v>
      </c>
      <c r="C21" t="s">
        <v>59</v>
      </c>
      <c r="D21" t="s">
        <v>74</v>
      </c>
      <c r="E21" t="s">
        <v>98</v>
      </c>
      <c r="F21" t="s">
        <v>62</v>
      </c>
      <c r="G21" t="s">
        <v>60</v>
      </c>
      <c r="H21" t="s">
        <v>130</v>
      </c>
      <c r="I21" t="s">
        <v>131</v>
      </c>
      <c r="J21" s="2">
        <v>490.75</v>
      </c>
      <c r="K21">
        <v>10</v>
      </c>
      <c r="L21" t="s">
        <v>78</v>
      </c>
      <c r="M21">
        <v>2</v>
      </c>
      <c r="N21">
        <v>4</v>
      </c>
      <c r="O21">
        <v>1</v>
      </c>
      <c r="P21" t="s">
        <v>66</v>
      </c>
      <c r="Q21" t="s">
        <v>109</v>
      </c>
      <c r="R21">
        <v>1</v>
      </c>
      <c r="S21">
        <v>4</v>
      </c>
      <c r="T21" t="s">
        <v>84</v>
      </c>
      <c r="U21" t="s">
        <v>90</v>
      </c>
      <c r="V21" t="s">
        <v>91</v>
      </c>
      <c r="W21" s="3">
        <v>45481</v>
      </c>
      <c r="X21" t="b">
        <v>0</v>
      </c>
      <c r="Y21" t="b">
        <v>0</v>
      </c>
      <c r="Z21" t="s">
        <v>82</v>
      </c>
      <c r="AA21" t="s">
        <v>83</v>
      </c>
      <c r="AB21">
        <v>13</v>
      </c>
      <c r="AL21" t="str">
        <v>Groceries</v>
      </c>
      <c r="AM21">
        <v>41</v>
      </c>
      <c r="AN21">
        <f t="shared" si="4"/>
        <v>0.040959040959041</v>
      </c>
      <c r="AO21" t="str">
        <f t="shared" si="3"/>
        <v>26-40</v>
      </c>
      <c r="BD21">
        <v>10</v>
      </c>
      <c r="BF21" cm="1">
        <f t="array" ref="BF21">CORREL(J21:J1021,S21:S1021)</f>
        <v>-0.0233822561112787</v>
      </c>
      <c r="BH21">
        <v>4</v>
      </c>
      <c r="BI21">
        <f t="shared" si="1"/>
        <v>2.5</v>
      </c>
      <c r="BJ21">
        <f t="shared" si="2"/>
        <v>1.6</v>
      </c>
    </row>
    <row r="22" spans="1:62">
      <c r="A22" s="1">
        <v>856914293</v>
      </c>
      <c r="B22">
        <v>21</v>
      </c>
      <c r="C22" t="s">
        <v>59</v>
      </c>
      <c r="D22" t="s">
        <v>60</v>
      </c>
      <c r="E22" t="s">
        <v>98</v>
      </c>
      <c r="F22" t="s">
        <v>75</v>
      </c>
      <c r="G22" t="s">
        <v>60</v>
      </c>
      <c r="H22" t="s">
        <v>132</v>
      </c>
      <c r="I22" t="s">
        <v>133</v>
      </c>
      <c r="J22" s="2">
        <v>463.07</v>
      </c>
      <c r="K22">
        <v>7</v>
      </c>
      <c r="L22" t="s">
        <v>65</v>
      </c>
      <c r="M22">
        <v>4</v>
      </c>
      <c r="N22">
        <v>2</v>
      </c>
      <c r="O22">
        <v>0</v>
      </c>
      <c r="P22" t="s">
        <v>66</v>
      </c>
      <c r="Q22" t="s">
        <v>109</v>
      </c>
      <c r="R22">
        <v>1</v>
      </c>
      <c r="S22">
        <v>2</v>
      </c>
      <c r="T22" t="s">
        <v>79</v>
      </c>
      <c r="U22" t="s">
        <v>90</v>
      </c>
      <c r="V22" t="s">
        <v>81</v>
      </c>
      <c r="W22" s="3">
        <v>45496</v>
      </c>
      <c r="X22" t="b">
        <v>1</v>
      </c>
      <c r="Y22" t="b">
        <v>0</v>
      </c>
      <c r="Z22" t="s">
        <v>82</v>
      </c>
      <c r="AA22" t="s">
        <v>71</v>
      </c>
      <c r="AB22">
        <v>11</v>
      </c>
      <c r="AL22" t="str">
        <v>Clothing</v>
      </c>
      <c r="AM22">
        <v>30</v>
      </c>
      <c r="AN22">
        <f t="shared" si="4"/>
        <v>0.02997002997003</v>
      </c>
      <c r="AO22" t="str">
        <f t="shared" si="3"/>
        <v>18-25</v>
      </c>
      <c r="BD22">
        <v>7</v>
      </c>
      <c r="BF22" cm="1">
        <f t="array" ref="BF22">CORREL(J22:J1022,S22:S1022)</f>
        <v>-0.0226037004551593</v>
      </c>
      <c r="BH22">
        <v>2</v>
      </c>
      <c r="BI22">
        <f t="shared" si="1"/>
        <v>3.5</v>
      </c>
      <c r="BJ22">
        <f t="shared" si="2"/>
        <v>0.571428571428571</v>
      </c>
    </row>
    <row r="23" spans="1:62">
      <c r="A23" s="1">
        <v>560850464</v>
      </c>
      <c r="B23">
        <v>36</v>
      </c>
      <c r="C23" t="s">
        <v>59</v>
      </c>
      <c r="D23" t="s">
        <v>74</v>
      </c>
      <c r="E23" t="s">
        <v>61</v>
      </c>
      <c r="F23" t="s">
        <v>87</v>
      </c>
      <c r="G23" t="s">
        <v>74</v>
      </c>
      <c r="H23" t="s">
        <v>134</v>
      </c>
      <c r="I23" t="s">
        <v>135</v>
      </c>
      <c r="J23" s="2">
        <v>56.74</v>
      </c>
      <c r="K23">
        <v>5</v>
      </c>
      <c r="L23" t="s">
        <v>85</v>
      </c>
      <c r="M23">
        <v>5</v>
      </c>
      <c r="N23">
        <v>1</v>
      </c>
      <c r="O23">
        <v>0</v>
      </c>
      <c r="P23" t="s">
        <v>79</v>
      </c>
      <c r="Q23" t="s">
        <v>109</v>
      </c>
      <c r="R23">
        <v>0</v>
      </c>
      <c r="S23">
        <v>6</v>
      </c>
      <c r="T23" t="s">
        <v>66</v>
      </c>
      <c r="U23" t="s">
        <v>90</v>
      </c>
      <c r="V23" t="s">
        <v>96</v>
      </c>
      <c r="W23" s="3">
        <v>45504</v>
      </c>
      <c r="X23" t="b">
        <v>1</v>
      </c>
      <c r="Y23" t="b">
        <v>0</v>
      </c>
      <c r="Z23" t="s">
        <v>92</v>
      </c>
      <c r="AA23" t="s">
        <v>97</v>
      </c>
      <c r="AB23">
        <v>7</v>
      </c>
      <c r="AL23" t="str">
        <v>Beauty &amp; Personal Care</v>
      </c>
      <c r="AM23">
        <v>34</v>
      </c>
      <c r="AN23">
        <f t="shared" si="4"/>
        <v>0.033966033966034</v>
      </c>
      <c r="AO23" t="str">
        <f t="shared" si="3"/>
        <v>26-40</v>
      </c>
      <c r="BD23">
        <v>5</v>
      </c>
      <c r="BF23" cm="1">
        <f t="array" ref="BF23">CORREL(J23:J1023,S23:S1023)</f>
        <v>-0.0209079214103908</v>
      </c>
      <c r="BH23">
        <v>6</v>
      </c>
      <c r="BI23">
        <f t="shared" si="1"/>
        <v>0.833333333333333</v>
      </c>
      <c r="BJ23">
        <f t="shared" si="2"/>
        <v>7.2</v>
      </c>
    </row>
    <row r="24" spans="1:62">
      <c r="A24" s="1">
        <v>332642822</v>
      </c>
      <c r="B24">
        <v>38</v>
      </c>
      <c r="C24" t="s">
        <v>73</v>
      </c>
      <c r="D24" t="s">
        <v>74</v>
      </c>
      <c r="E24" t="s">
        <v>103</v>
      </c>
      <c r="F24" t="s">
        <v>62</v>
      </c>
      <c r="G24" t="s">
        <v>60</v>
      </c>
      <c r="H24" t="s">
        <v>136</v>
      </c>
      <c r="I24" t="s">
        <v>137</v>
      </c>
      <c r="J24" s="2">
        <v>371.32</v>
      </c>
      <c r="K24">
        <v>7</v>
      </c>
      <c r="L24" t="s">
        <v>78</v>
      </c>
      <c r="M24">
        <v>4</v>
      </c>
      <c r="N24">
        <v>4</v>
      </c>
      <c r="O24">
        <v>0.7</v>
      </c>
      <c r="P24" t="s">
        <v>79</v>
      </c>
      <c r="Q24" t="s">
        <v>80</v>
      </c>
      <c r="R24">
        <v>2</v>
      </c>
      <c r="S24">
        <v>1</v>
      </c>
      <c r="T24" t="s">
        <v>66</v>
      </c>
      <c r="U24" t="s">
        <v>68</v>
      </c>
      <c r="V24" t="s">
        <v>91</v>
      </c>
      <c r="W24" s="3">
        <v>45347</v>
      </c>
      <c r="X24" t="b">
        <v>1</v>
      </c>
      <c r="Y24" t="b">
        <v>1</v>
      </c>
      <c r="Z24" t="s">
        <v>92</v>
      </c>
      <c r="AA24" t="s">
        <v>83</v>
      </c>
      <c r="AB24">
        <v>6</v>
      </c>
      <c r="AL24" t="str">
        <v>Travel &amp; Leisure (Flights</v>
      </c>
      <c r="AM24">
        <v>38</v>
      </c>
      <c r="AN24">
        <f t="shared" si="4"/>
        <v>0.037962037962038</v>
      </c>
      <c r="AO24" t="str">
        <f t="shared" si="3"/>
        <v>26-40</v>
      </c>
      <c r="BD24">
        <v>7</v>
      </c>
      <c r="BF24" cm="1">
        <f t="array" ref="BF24">CORREL(J24:J1024,S24:S1024)</f>
        <v>-0.0205780987714373</v>
      </c>
      <c r="BH24">
        <v>1</v>
      </c>
      <c r="BI24">
        <f t="shared" si="1"/>
        <v>7</v>
      </c>
      <c r="BJ24">
        <f t="shared" si="2"/>
        <v>0.142857142857143</v>
      </c>
    </row>
    <row r="25" spans="1:62">
      <c r="A25" s="1">
        <v>954782650</v>
      </c>
      <c r="B25">
        <v>37</v>
      </c>
      <c r="C25" t="s">
        <v>59</v>
      </c>
      <c r="D25" t="s">
        <v>60</v>
      </c>
      <c r="E25" t="s">
        <v>86</v>
      </c>
      <c r="F25" t="s">
        <v>62</v>
      </c>
      <c r="G25" t="s">
        <v>60</v>
      </c>
      <c r="H25" t="s">
        <v>138</v>
      </c>
      <c r="I25" t="s">
        <v>133</v>
      </c>
      <c r="J25" s="2">
        <v>461</v>
      </c>
      <c r="K25">
        <v>7</v>
      </c>
      <c r="L25" t="s">
        <v>85</v>
      </c>
      <c r="M25">
        <v>2</v>
      </c>
      <c r="N25">
        <v>4</v>
      </c>
      <c r="O25">
        <v>1</v>
      </c>
      <c r="P25" t="s">
        <v>74</v>
      </c>
      <c r="Q25" t="s">
        <v>80</v>
      </c>
      <c r="R25">
        <v>0</v>
      </c>
      <c r="S25">
        <v>8</v>
      </c>
      <c r="T25" t="s">
        <v>84</v>
      </c>
      <c r="U25" t="s">
        <v>68</v>
      </c>
      <c r="V25" t="s">
        <v>110</v>
      </c>
      <c r="W25" s="3">
        <v>45483</v>
      </c>
      <c r="X25" t="b">
        <v>0</v>
      </c>
      <c r="Y25" t="b">
        <v>1</v>
      </c>
      <c r="Z25" t="s">
        <v>82</v>
      </c>
      <c r="AA25" t="s">
        <v>83</v>
      </c>
      <c r="AB25">
        <v>9</v>
      </c>
      <c r="AL25" t="str">
        <v>Jewelry &amp; Accessories</v>
      </c>
      <c r="AM25">
        <v>50</v>
      </c>
      <c r="AN25">
        <f t="shared" si="4"/>
        <v>0.04995004995005</v>
      </c>
      <c r="AO25" t="str">
        <f t="shared" si="3"/>
        <v>26-40</v>
      </c>
      <c r="BD25">
        <v>7</v>
      </c>
      <c r="BF25" cm="1">
        <f t="array" ref="BF25">CORREL(J25:J1025,S25:S1025)</f>
        <v>-0.0194535508822073</v>
      </c>
      <c r="BH25">
        <v>8</v>
      </c>
      <c r="BI25">
        <f t="shared" si="1"/>
        <v>0.875</v>
      </c>
      <c r="BJ25">
        <f t="shared" si="2"/>
        <v>9.14285714285714</v>
      </c>
    </row>
    <row r="26" spans="1:62">
      <c r="A26" s="4" t="s">
        <v>139</v>
      </c>
      <c r="B26">
        <v>33</v>
      </c>
      <c r="C26" t="s">
        <v>59</v>
      </c>
      <c r="D26" t="s">
        <v>74</v>
      </c>
      <c r="E26" t="s">
        <v>61</v>
      </c>
      <c r="F26" t="s">
        <v>62</v>
      </c>
      <c r="G26" t="s">
        <v>74</v>
      </c>
      <c r="H26" t="s">
        <v>140</v>
      </c>
      <c r="I26" t="s">
        <v>77</v>
      </c>
      <c r="J26" s="2">
        <v>253.37</v>
      </c>
      <c r="K26">
        <v>6</v>
      </c>
      <c r="L26" t="s">
        <v>78</v>
      </c>
      <c r="M26">
        <v>4</v>
      </c>
      <c r="N26">
        <v>1</v>
      </c>
      <c r="O26">
        <v>1</v>
      </c>
      <c r="P26" t="s">
        <v>66</v>
      </c>
      <c r="Q26" t="s">
        <v>109</v>
      </c>
      <c r="R26">
        <v>2</v>
      </c>
      <c r="S26">
        <v>10</v>
      </c>
      <c r="T26" t="s">
        <v>74</v>
      </c>
      <c r="U26" t="s">
        <v>68</v>
      </c>
      <c r="V26" t="s">
        <v>96</v>
      </c>
      <c r="W26" s="3">
        <v>45651</v>
      </c>
      <c r="X26" t="b">
        <v>1</v>
      </c>
      <c r="Y26" t="b">
        <v>0</v>
      </c>
      <c r="Z26" t="s">
        <v>92</v>
      </c>
      <c r="AA26" t="s">
        <v>83</v>
      </c>
      <c r="AB26">
        <v>8</v>
      </c>
      <c r="AO26" t="str">
        <f t="shared" si="3"/>
        <v>26-40</v>
      </c>
      <c r="BD26">
        <v>6</v>
      </c>
      <c r="BF26" cm="1">
        <f t="array" ref="BF26">CORREL(J26:J1026,S26:S1026)</f>
        <v>-0.0208054200036953</v>
      </c>
      <c r="BH26">
        <v>10</v>
      </c>
      <c r="BI26">
        <f t="shared" si="1"/>
        <v>0.6</v>
      </c>
      <c r="BJ26">
        <f t="shared" si="2"/>
        <v>16.6666666666667</v>
      </c>
    </row>
    <row r="27" spans="1:62">
      <c r="A27" s="1">
        <v>217558745</v>
      </c>
      <c r="B27">
        <v>37</v>
      </c>
      <c r="C27" t="s">
        <v>73</v>
      </c>
      <c r="D27" t="s">
        <v>74</v>
      </c>
      <c r="E27" t="s">
        <v>98</v>
      </c>
      <c r="F27" t="s">
        <v>75</v>
      </c>
      <c r="G27" t="s">
        <v>74</v>
      </c>
      <c r="H27" t="s">
        <v>141</v>
      </c>
      <c r="I27" t="s">
        <v>129</v>
      </c>
      <c r="J27" s="2">
        <v>136.53</v>
      </c>
      <c r="K27">
        <v>3</v>
      </c>
      <c r="L27" t="s">
        <v>65</v>
      </c>
      <c r="M27">
        <v>2</v>
      </c>
      <c r="N27">
        <v>4</v>
      </c>
      <c r="O27">
        <v>2</v>
      </c>
      <c r="P27" t="s">
        <v>74</v>
      </c>
      <c r="Q27" t="s">
        <v>80</v>
      </c>
      <c r="R27">
        <v>1</v>
      </c>
      <c r="S27">
        <v>3</v>
      </c>
      <c r="T27" t="s">
        <v>74</v>
      </c>
      <c r="U27" t="s">
        <v>90</v>
      </c>
      <c r="V27" t="s">
        <v>81</v>
      </c>
      <c r="W27" s="3">
        <v>45443</v>
      </c>
      <c r="X27" t="b">
        <v>1</v>
      </c>
      <c r="Y27" t="b">
        <v>1</v>
      </c>
      <c r="Z27" t="s">
        <v>102</v>
      </c>
      <c r="AA27" t="s">
        <v>83</v>
      </c>
      <c r="AB27">
        <v>10</v>
      </c>
      <c r="AO27" t="str">
        <f t="shared" si="3"/>
        <v>26-40</v>
      </c>
      <c r="BD27">
        <v>3</v>
      </c>
      <c r="BF27" cm="1">
        <f t="array" ref="BF27">CORREL(J27:J1027,S27:S1027)</f>
        <v>-0.0205641897500854</v>
      </c>
      <c r="BH27">
        <v>3</v>
      </c>
      <c r="BI27">
        <f t="shared" si="1"/>
        <v>1</v>
      </c>
      <c r="BJ27">
        <f t="shared" si="2"/>
        <v>3</v>
      </c>
    </row>
    <row r="28" spans="1:62">
      <c r="A28" s="1">
        <v>296257057</v>
      </c>
      <c r="B28">
        <v>31</v>
      </c>
      <c r="C28" t="s">
        <v>59</v>
      </c>
      <c r="D28" t="s">
        <v>60</v>
      </c>
      <c r="E28" t="s">
        <v>86</v>
      </c>
      <c r="F28" t="s">
        <v>87</v>
      </c>
      <c r="G28" t="s">
        <v>60</v>
      </c>
      <c r="H28" t="s">
        <v>142</v>
      </c>
      <c r="I28" t="s">
        <v>143</v>
      </c>
      <c r="J28" s="2">
        <v>489.05</v>
      </c>
      <c r="K28">
        <v>10</v>
      </c>
      <c r="L28" t="s">
        <v>85</v>
      </c>
      <c r="M28">
        <v>5</v>
      </c>
      <c r="N28">
        <v>3</v>
      </c>
      <c r="O28">
        <v>0</v>
      </c>
      <c r="P28" t="s">
        <v>74</v>
      </c>
      <c r="Q28" t="s">
        <v>67</v>
      </c>
      <c r="R28">
        <v>2</v>
      </c>
      <c r="S28">
        <v>2</v>
      </c>
      <c r="T28" t="s">
        <v>74</v>
      </c>
      <c r="U28" t="s">
        <v>105</v>
      </c>
      <c r="V28" t="s">
        <v>81</v>
      </c>
      <c r="W28" s="3">
        <v>45539</v>
      </c>
      <c r="X28" t="b">
        <v>1</v>
      </c>
      <c r="Y28" t="b">
        <v>1</v>
      </c>
      <c r="Z28" t="s">
        <v>102</v>
      </c>
      <c r="AA28" t="s">
        <v>83</v>
      </c>
      <c r="AB28">
        <v>7</v>
      </c>
      <c r="AO28" t="str">
        <f t="shared" si="3"/>
        <v>26-40</v>
      </c>
      <c r="BD28">
        <v>10</v>
      </c>
      <c r="BF28" cm="1">
        <f t="array" ref="BF28">CORREL(J28:J1028,S28:S1028)</f>
        <v>-0.0214886152575079</v>
      </c>
      <c r="BH28">
        <v>2</v>
      </c>
      <c r="BI28">
        <f t="shared" si="1"/>
        <v>5</v>
      </c>
      <c r="BJ28">
        <f t="shared" si="2"/>
        <v>0.4</v>
      </c>
    </row>
    <row r="29" spans="1:62">
      <c r="A29" s="1">
        <v>586238404</v>
      </c>
      <c r="B29">
        <v>50</v>
      </c>
      <c r="C29" t="s">
        <v>73</v>
      </c>
      <c r="D29" t="s">
        <v>74</v>
      </c>
      <c r="E29" t="s">
        <v>86</v>
      </c>
      <c r="F29" t="s">
        <v>87</v>
      </c>
      <c r="G29" t="s">
        <v>74</v>
      </c>
      <c r="H29" t="s">
        <v>144</v>
      </c>
      <c r="I29" t="s">
        <v>131</v>
      </c>
      <c r="J29" s="2">
        <v>81.91</v>
      </c>
      <c r="K29">
        <v>10</v>
      </c>
      <c r="L29" t="s">
        <v>78</v>
      </c>
      <c r="M29">
        <v>3</v>
      </c>
      <c r="N29">
        <v>4</v>
      </c>
      <c r="O29">
        <v>1</v>
      </c>
      <c r="P29" t="s">
        <v>79</v>
      </c>
      <c r="Q29" t="s">
        <v>109</v>
      </c>
      <c r="R29">
        <v>0</v>
      </c>
      <c r="S29">
        <v>4</v>
      </c>
      <c r="T29" t="s">
        <v>66</v>
      </c>
      <c r="U29" t="s">
        <v>105</v>
      </c>
      <c r="V29" t="s">
        <v>91</v>
      </c>
      <c r="W29" s="3">
        <v>45497</v>
      </c>
      <c r="X29" t="b">
        <v>0</v>
      </c>
      <c r="Y29" t="b">
        <v>1</v>
      </c>
      <c r="Z29" t="s">
        <v>70</v>
      </c>
      <c r="AA29" t="s">
        <v>97</v>
      </c>
      <c r="AB29">
        <v>2</v>
      </c>
      <c r="AO29" t="str">
        <f t="shared" si="3"/>
        <v>41-60</v>
      </c>
      <c r="BD29">
        <v>10</v>
      </c>
      <c r="BF29" cm="1">
        <f t="array" ref="BF29">CORREL(J29:J1029,S29:S1029)</f>
        <v>-0.0195385890865107</v>
      </c>
      <c r="BH29">
        <v>4</v>
      </c>
      <c r="BI29">
        <f t="shared" si="1"/>
        <v>2.5</v>
      </c>
      <c r="BJ29">
        <f t="shared" si="2"/>
        <v>1.6</v>
      </c>
    </row>
    <row r="30" spans="1:62">
      <c r="A30" s="1">
        <v>565064709</v>
      </c>
      <c r="B30">
        <v>50</v>
      </c>
      <c r="C30" t="s">
        <v>73</v>
      </c>
      <c r="D30" t="s">
        <v>60</v>
      </c>
      <c r="E30" t="s">
        <v>61</v>
      </c>
      <c r="F30" t="s">
        <v>62</v>
      </c>
      <c r="G30" t="s">
        <v>60</v>
      </c>
      <c r="H30" t="s">
        <v>145</v>
      </c>
      <c r="I30" t="s">
        <v>143</v>
      </c>
      <c r="J30" s="2">
        <v>135.8</v>
      </c>
      <c r="K30">
        <v>2</v>
      </c>
      <c r="L30" t="s">
        <v>78</v>
      </c>
      <c r="M30">
        <v>2</v>
      </c>
      <c r="N30">
        <v>5</v>
      </c>
      <c r="O30">
        <v>1</v>
      </c>
      <c r="P30" t="s">
        <v>84</v>
      </c>
      <c r="Q30" t="s">
        <v>67</v>
      </c>
      <c r="R30">
        <v>1</v>
      </c>
      <c r="S30">
        <v>2</v>
      </c>
      <c r="T30" t="s">
        <v>74</v>
      </c>
      <c r="U30" t="s">
        <v>105</v>
      </c>
      <c r="V30" t="s">
        <v>91</v>
      </c>
      <c r="W30" s="3">
        <v>45612</v>
      </c>
      <c r="X30" t="b">
        <v>0</v>
      </c>
      <c r="Y30" t="b">
        <v>1</v>
      </c>
      <c r="Z30" t="s">
        <v>102</v>
      </c>
      <c r="AA30" t="s">
        <v>71</v>
      </c>
      <c r="AB30">
        <v>9</v>
      </c>
      <c r="AO30" t="str">
        <f t="shared" si="3"/>
        <v>41-60</v>
      </c>
      <c r="BD30">
        <v>2</v>
      </c>
      <c r="BF30" cm="1">
        <f t="array" ref="BF30">CORREL(J30:J1030,S30:S1030)</f>
        <v>-0.0203028986985034</v>
      </c>
      <c r="BH30">
        <v>2</v>
      </c>
      <c r="BI30">
        <f t="shared" si="1"/>
        <v>1</v>
      </c>
      <c r="BJ30">
        <f t="shared" si="2"/>
        <v>2</v>
      </c>
    </row>
    <row r="31" spans="1:62">
      <c r="A31" s="1">
        <v>258398670</v>
      </c>
      <c r="B31">
        <v>45</v>
      </c>
      <c r="C31" t="s">
        <v>59</v>
      </c>
      <c r="D31" t="s">
        <v>60</v>
      </c>
      <c r="E31" t="s">
        <v>98</v>
      </c>
      <c r="F31" t="s">
        <v>75</v>
      </c>
      <c r="G31" t="s">
        <v>60</v>
      </c>
      <c r="H31" t="s">
        <v>146</v>
      </c>
      <c r="I31" t="s">
        <v>147</v>
      </c>
      <c r="J31" s="2">
        <v>382.24</v>
      </c>
      <c r="K31">
        <v>12</v>
      </c>
      <c r="L31" t="s">
        <v>78</v>
      </c>
      <c r="M31">
        <v>1</v>
      </c>
      <c r="N31">
        <v>5</v>
      </c>
      <c r="O31">
        <v>1</v>
      </c>
      <c r="P31" t="s">
        <v>74</v>
      </c>
      <c r="Q31" t="s">
        <v>109</v>
      </c>
      <c r="R31">
        <v>1</v>
      </c>
      <c r="S31">
        <v>4</v>
      </c>
      <c r="T31" t="s">
        <v>74</v>
      </c>
      <c r="U31" t="s">
        <v>68</v>
      </c>
      <c r="V31" t="s">
        <v>81</v>
      </c>
      <c r="W31" s="3">
        <v>45479</v>
      </c>
      <c r="X31" t="b">
        <v>1</v>
      </c>
      <c r="Y31" t="b">
        <v>1</v>
      </c>
      <c r="Z31" t="s">
        <v>102</v>
      </c>
      <c r="AA31" t="s">
        <v>83</v>
      </c>
      <c r="AB31">
        <v>3</v>
      </c>
      <c r="AO31" t="str">
        <f t="shared" si="3"/>
        <v>41-60</v>
      </c>
      <c r="BD31">
        <v>12</v>
      </c>
      <c r="BF31" cm="1">
        <f t="array" ref="BF31">CORREL(J31:J1031,S31:S1031)</f>
        <v>-0.0216301577723011</v>
      </c>
      <c r="BH31">
        <v>4</v>
      </c>
      <c r="BI31">
        <f t="shared" si="1"/>
        <v>3</v>
      </c>
      <c r="BJ31">
        <f t="shared" si="2"/>
        <v>1.33333333333333</v>
      </c>
    </row>
    <row r="32" spans="1:62">
      <c r="A32" s="1">
        <v>891940596</v>
      </c>
      <c r="B32">
        <v>33</v>
      </c>
      <c r="C32" t="s">
        <v>59</v>
      </c>
      <c r="D32" t="s">
        <v>74</v>
      </c>
      <c r="E32" t="s">
        <v>61</v>
      </c>
      <c r="F32" t="s">
        <v>62</v>
      </c>
      <c r="G32" t="s">
        <v>60</v>
      </c>
      <c r="H32" t="s">
        <v>148</v>
      </c>
      <c r="I32" t="s">
        <v>64</v>
      </c>
      <c r="J32" s="2">
        <v>354.7</v>
      </c>
      <c r="K32">
        <v>5</v>
      </c>
      <c r="L32" t="s">
        <v>85</v>
      </c>
      <c r="M32">
        <v>4</v>
      </c>
      <c r="N32">
        <v>2</v>
      </c>
      <c r="O32">
        <v>0</v>
      </c>
      <c r="P32" t="s">
        <v>66</v>
      </c>
      <c r="Q32" t="s">
        <v>109</v>
      </c>
      <c r="R32">
        <v>2</v>
      </c>
      <c r="S32">
        <v>7</v>
      </c>
      <c r="T32" t="s">
        <v>66</v>
      </c>
      <c r="U32" t="s">
        <v>90</v>
      </c>
      <c r="V32" t="s">
        <v>96</v>
      </c>
      <c r="W32" s="3">
        <v>45332</v>
      </c>
      <c r="X32" t="b">
        <v>1</v>
      </c>
      <c r="Y32" t="b">
        <v>0</v>
      </c>
      <c r="Z32" t="s">
        <v>102</v>
      </c>
      <c r="AA32" t="s">
        <v>97</v>
      </c>
      <c r="AB32">
        <v>12</v>
      </c>
      <c r="AO32" t="str">
        <f t="shared" si="3"/>
        <v>26-40</v>
      </c>
      <c r="BD32">
        <v>5</v>
      </c>
      <c r="BF32" cm="1">
        <f t="array" ref="BF32">CORREL(J32:J1032,S32:S1032)</f>
        <v>-0.0212264297649873</v>
      </c>
      <c r="BH32">
        <v>7</v>
      </c>
      <c r="BI32">
        <f t="shared" si="1"/>
        <v>0.714285714285714</v>
      </c>
      <c r="BJ32">
        <f t="shared" si="2"/>
        <v>9.8</v>
      </c>
    </row>
    <row r="33" spans="1:62">
      <c r="A33" s="1">
        <v>551631389</v>
      </c>
      <c r="B33">
        <v>24</v>
      </c>
      <c r="C33" t="s">
        <v>73</v>
      </c>
      <c r="D33" t="s">
        <v>74</v>
      </c>
      <c r="E33" t="s">
        <v>103</v>
      </c>
      <c r="F33" t="s">
        <v>62</v>
      </c>
      <c r="G33" t="s">
        <v>74</v>
      </c>
      <c r="H33" t="s">
        <v>149</v>
      </c>
      <c r="I33" t="s">
        <v>115</v>
      </c>
      <c r="J33" s="2">
        <v>433.82</v>
      </c>
      <c r="K33">
        <v>6</v>
      </c>
      <c r="L33" t="s">
        <v>85</v>
      </c>
      <c r="M33">
        <v>3</v>
      </c>
      <c r="N33">
        <v>2</v>
      </c>
      <c r="O33">
        <v>1</v>
      </c>
      <c r="P33" t="s">
        <v>79</v>
      </c>
      <c r="Q33" t="s">
        <v>67</v>
      </c>
      <c r="R33">
        <v>0</v>
      </c>
      <c r="S33">
        <v>8</v>
      </c>
      <c r="T33" t="s">
        <v>79</v>
      </c>
      <c r="U33" t="s">
        <v>105</v>
      </c>
      <c r="V33" t="s">
        <v>96</v>
      </c>
      <c r="W33" s="3">
        <v>45472</v>
      </c>
      <c r="X33" t="b">
        <v>0</v>
      </c>
      <c r="Y33" t="b">
        <v>1</v>
      </c>
      <c r="Z33" t="s">
        <v>102</v>
      </c>
      <c r="AA33" t="s">
        <v>97</v>
      </c>
      <c r="AB33">
        <v>10</v>
      </c>
      <c r="AO33" t="str">
        <f t="shared" si="3"/>
        <v>18-25</v>
      </c>
      <c r="BD33">
        <v>6</v>
      </c>
      <c r="BF33" cm="1">
        <f t="array" ref="BF33">CORREL(J33:J1033,S33:S1033)</f>
        <v>-0.0215849796638869</v>
      </c>
      <c r="BH33">
        <v>8</v>
      </c>
      <c r="BI33">
        <f t="shared" si="1"/>
        <v>0.75</v>
      </c>
      <c r="BJ33">
        <f t="shared" si="2"/>
        <v>10.6666666666667</v>
      </c>
    </row>
    <row r="34" spans="1:62">
      <c r="A34" s="1">
        <v>282254286</v>
      </c>
      <c r="B34">
        <v>39</v>
      </c>
      <c r="C34" t="s">
        <v>150</v>
      </c>
      <c r="D34" t="s">
        <v>74</v>
      </c>
      <c r="E34" t="s">
        <v>61</v>
      </c>
      <c r="F34" t="s">
        <v>62</v>
      </c>
      <c r="G34" t="s">
        <v>60</v>
      </c>
      <c r="H34" t="s">
        <v>151</v>
      </c>
      <c r="I34" t="s">
        <v>115</v>
      </c>
      <c r="J34" s="2">
        <v>282.13</v>
      </c>
      <c r="K34">
        <v>5</v>
      </c>
      <c r="L34" t="s">
        <v>65</v>
      </c>
      <c r="M34">
        <v>4</v>
      </c>
      <c r="N34">
        <v>5</v>
      </c>
      <c r="O34">
        <v>1</v>
      </c>
      <c r="P34" t="s">
        <v>66</v>
      </c>
      <c r="Q34" t="s">
        <v>67</v>
      </c>
      <c r="R34">
        <v>1</v>
      </c>
      <c r="S34">
        <v>2</v>
      </c>
      <c r="T34" t="s">
        <v>66</v>
      </c>
      <c r="U34" t="s">
        <v>68</v>
      </c>
      <c r="V34" t="s">
        <v>96</v>
      </c>
      <c r="W34" s="3">
        <v>45317</v>
      </c>
      <c r="X34" t="b">
        <v>1</v>
      </c>
      <c r="Y34" t="b">
        <v>0</v>
      </c>
      <c r="Z34" t="s">
        <v>70</v>
      </c>
      <c r="AA34" t="s">
        <v>83</v>
      </c>
      <c r="AB34">
        <v>9</v>
      </c>
      <c r="AO34" t="str">
        <f t="shared" si="3"/>
        <v>26-40</v>
      </c>
      <c r="BD34">
        <v>5</v>
      </c>
      <c r="BF34" cm="1">
        <f t="array" ref="BF34">CORREL(J34:J1034,S34:S1034)</f>
        <v>-0.0227502325863315</v>
      </c>
      <c r="BH34">
        <v>2</v>
      </c>
      <c r="BI34">
        <f t="shared" si="1"/>
        <v>2.5</v>
      </c>
      <c r="BJ34">
        <f t="shared" si="2"/>
        <v>0.8</v>
      </c>
    </row>
    <row r="35" spans="1:62">
      <c r="A35" s="1">
        <v>143058712</v>
      </c>
      <c r="B35">
        <v>48</v>
      </c>
      <c r="C35" t="s">
        <v>73</v>
      </c>
      <c r="D35" t="s">
        <v>74</v>
      </c>
      <c r="E35" t="s">
        <v>98</v>
      </c>
      <c r="F35" t="s">
        <v>75</v>
      </c>
      <c r="G35" t="s">
        <v>60</v>
      </c>
      <c r="H35" t="s">
        <v>152</v>
      </c>
      <c r="I35" t="s">
        <v>115</v>
      </c>
      <c r="J35" s="2">
        <v>454.38</v>
      </c>
      <c r="K35">
        <v>10</v>
      </c>
      <c r="L35" t="s">
        <v>85</v>
      </c>
      <c r="M35">
        <v>3</v>
      </c>
      <c r="N35">
        <v>4</v>
      </c>
      <c r="O35">
        <v>0</v>
      </c>
      <c r="P35" t="s">
        <v>66</v>
      </c>
      <c r="Q35" t="s">
        <v>67</v>
      </c>
      <c r="R35">
        <v>0</v>
      </c>
      <c r="S35">
        <v>10</v>
      </c>
      <c r="T35" t="s">
        <v>79</v>
      </c>
      <c r="U35" t="s">
        <v>90</v>
      </c>
      <c r="V35" t="s">
        <v>81</v>
      </c>
      <c r="W35" s="3">
        <v>45458</v>
      </c>
      <c r="X35" t="b">
        <v>1</v>
      </c>
      <c r="Y35" t="b">
        <v>0</v>
      </c>
      <c r="Z35" t="s">
        <v>92</v>
      </c>
      <c r="AA35" t="s">
        <v>71</v>
      </c>
      <c r="AB35">
        <v>7</v>
      </c>
      <c r="AO35" t="str">
        <f t="shared" si="3"/>
        <v>41-60</v>
      </c>
      <c r="BD35">
        <v>10</v>
      </c>
      <c r="BF35" cm="1">
        <f t="array" ref="BF35">CORREL(J35:J1035,S35:S1035)</f>
        <v>-0.022696632830083</v>
      </c>
      <c r="BH35">
        <v>10</v>
      </c>
      <c r="BI35">
        <f t="shared" si="1"/>
        <v>1</v>
      </c>
      <c r="BJ35">
        <f t="shared" si="2"/>
        <v>10</v>
      </c>
    </row>
    <row r="36" spans="1:62">
      <c r="A36" s="1">
        <v>857386864</v>
      </c>
      <c r="B36">
        <v>25</v>
      </c>
      <c r="C36" t="s">
        <v>73</v>
      </c>
      <c r="D36" t="s">
        <v>60</v>
      </c>
      <c r="E36" t="s">
        <v>61</v>
      </c>
      <c r="F36" t="s">
        <v>75</v>
      </c>
      <c r="G36" t="s">
        <v>74</v>
      </c>
      <c r="H36" t="s">
        <v>153</v>
      </c>
      <c r="I36" t="s">
        <v>115</v>
      </c>
      <c r="J36" s="2">
        <v>138.88</v>
      </c>
      <c r="K36">
        <v>7</v>
      </c>
      <c r="L36" t="s">
        <v>78</v>
      </c>
      <c r="M36">
        <v>2</v>
      </c>
      <c r="N36">
        <v>4</v>
      </c>
      <c r="O36">
        <v>1</v>
      </c>
      <c r="P36" t="s">
        <v>66</v>
      </c>
      <c r="Q36" t="s">
        <v>80</v>
      </c>
      <c r="R36">
        <v>1</v>
      </c>
      <c r="S36">
        <v>3</v>
      </c>
      <c r="T36" t="s">
        <v>66</v>
      </c>
      <c r="U36" t="s">
        <v>68</v>
      </c>
      <c r="V36" t="s">
        <v>110</v>
      </c>
      <c r="W36" s="3">
        <v>45451</v>
      </c>
      <c r="X36" t="b">
        <v>1</v>
      </c>
      <c r="Y36" t="b">
        <v>0</v>
      </c>
      <c r="Z36" t="s">
        <v>102</v>
      </c>
      <c r="AA36" t="s">
        <v>71</v>
      </c>
      <c r="AB36">
        <v>4</v>
      </c>
      <c r="AO36" t="str">
        <f t="shared" si="3"/>
        <v>18-25</v>
      </c>
      <c r="BD36">
        <v>7</v>
      </c>
      <c r="BF36" cm="1">
        <f t="array" ref="BF36">CORREL(J36:J1036,S36:S1036)</f>
        <v>-0.025035292440671</v>
      </c>
      <c r="BH36">
        <v>3</v>
      </c>
      <c r="BI36">
        <f t="shared" si="1"/>
        <v>2.33333333333333</v>
      </c>
      <c r="BJ36">
        <f t="shared" si="2"/>
        <v>1.28571428571429</v>
      </c>
    </row>
    <row r="37" spans="1:62">
      <c r="A37" s="1">
        <v>171985155</v>
      </c>
      <c r="B37">
        <v>30</v>
      </c>
      <c r="C37" t="s">
        <v>59</v>
      </c>
      <c r="D37" t="s">
        <v>74</v>
      </c>
      <c r="E37" t="s">
        <v>86</v>
      </c>
      <c r="F37" t="s">
        <v>62</v>
      </c>
      <c r="G37" t="s">
        <v>74</v>
      </c>
      <c r="H37" t="s">
        <v>154</v>
      </c>
      <c r="I37" t="s">
        <v>107</v>
      </c>
      <c r="J37" s="2">
        <v>52.34</v>
      </c>
      <c r="K37">
        <v>6</v>
      </c>
      <c r="L37" t="s">
        <v>78</v>
      </c>
      <c r="M37">
        <v>3</v>
      </c>
      <c r="N37">
        <v>4</v>
      </c>
      <c r="O37">
        <v>1</v>
      </c>
      <c r="P37" t="s">
        <v>84</v>
      </c>
      <c r="Q37" t="s">
        <v>67</v>
      </c>
      <c r="R37">
        <v>1</v>
      </c>
      <c r="S37">
        <v>5</v>
      </c>
      <c r="T37" t="s">
        <v>79</v>
      </c>
      <c r="U37" t="s">
        <v>68</v>
      </c>
      <c r="V37" t="s">
        <v>81</v>
      </c>
      <c r="W37" s="3">
        <v>45433</v>
      </c>
      <c r="X37" t="b">
        <v>1</v>
      </c>
      <c r="Y37" t="b">
        <v>1</v>
      </c>
      <c r="Z37" t="s">
        <v>102</v>
      </c>
      <c r="AA37" t="s">
        <v>97</v>
      </c>
      <c r="AB37">
        <v>13</v>
      </c>
      <c r="AO37" t="str">
        <f t="shared" si="3"/>
        <v>26-40</v>
      </c>
      <c r="BD37">
        <v>6</v>
      </c>
      <c r="BF37" cm="1">
        <f t="array" ref="BF37">CORREL(J37:J1037,S37:S1037)</f>
        <v>-0.0259583793431938</v>
      </c>
      <c r="BH37">
        <v>5</v>
      </c>
      <c r="BI37">
        <f t="shared" si="1"/>
        <v>1.2</v>
      </c>
      <c r="BJ37">
        <f t="shared" si="2"/>
        <v>4.16666666666667</v>
      </c>
    </row>
    <row r="38" spans="1:62">
      <c r="A38" s="1">
        <v>153549904</v>
      </c>
      <c r="B38">
        <v>34</v>
      </c>
      <c r="C38" t="s">
        <v>73</v>
      </c>
      <c r="D38" t="s">
        <v>60</v>
      </c>
      <c r="E38" t="s">
        <v>86</v>
      </c>
      <c r="F38" t="s">
        <v>62</v>
      </c>
      <c r="G38" t="s">
        <v>74</v>
      </c>
      <c r="H38" t="s">
        <v>155</v>
      </c>
      <c r="I38" t="s">
        <v>156</v>
      </c>
      <c r="J38" s="2">
        <v>338.2</v>
      </c>
      <c r="K38">
        <v>7</v>
      </c>
      <c r="L38" t="s">
        <v>85</v>
      </c>
      <c r="M38">
        <v>3</v>
      </c>
      <c r="N38">
        <v>5</v>
      </c>
      <c r="O38">
        <v>0</v>
      </c>
      <c r="P38" t="s">
        <v>66</v>
      </c>
      <c r="Q38" t="s">
        <v>80</v>
      </c>
      <c r="R38">
        <v>1</v>
      </c>
      <c r="S38">
        <v>9</v>
      </c>
      <c r="T38" t="s">
        <v>79</v>
      </c>
      <c r="U38" t="s">
        <v>68</v>
      </c>
      <c r="V38" t="s">
        <v>96</v>
      </c>
      <c r="W38" s="3">
        <v>45536</v>
      </c>
      <c r="X38" t="b">
        <v>1</v>
      </c>
      <c r="Y38" t="b">
        <v>0</v>
      </c>
      <c r="Z38" t="s">
        <v>82</v>
      </c>
      <c r="AA38" t="s">
        <v>83</v>
      </c>
      <c r="AB38">
        <v>7</v>
      </c>
      <c r="AO38" t="str">
        <f t="shared" ref="AO38:AO69" si="5">IF(B38&lt;=25,"18-25",IF(B38&lt;=40,"26-40",IF(B38&lt;=60,"41-60","Above60")))</f>
        <v>26-40</v>
      </c>
      <c r="BD38">
        <v>7</v>
      </c>
      <c r="BF38" cm="1">
        <f t="array" ref="BF38">CORREL(J38:J1038,S38:S1038)</f>
        <v>-0.0262441703792862</v>
      </c>
      <c r="BH38">
        <v>9</v>
      </c>
      <c r="BI38">
        <f t="shared" si="1"/>
        <v>0.777777777777778</v>
      </c>
      <c r="BJ38">
        <f t="shared" si="2"/>
        <v>11.5714285714286</v>
      </c>
    </row>
    <row r="39" spans="1:62">
      <c r="A39" s="1">
        <v>351989248</v>
      </c>
      <c r="B39">
        <v>21</v>
      </c>
      <c r="C39" t="s">
        <v>59</v>
      </c>
      <c r="D39" t="s">
        <v>60</v>
      </c>
      <c r="E39" t="s">
        <v>98</v>
      </c>
      <c r="F39" t="s">
        <v>75</v>
      </c>
      <c r="G39" t="s">
        <v>60</v>
      </c>
      <c r="H39" t="s">
        <v>157</v>
      </c>
      <c r="I39" t="s">
        <v>137</v>
      </c>
      <c r="J39" s="2">
        <v>263.15</v>
      </c>
      <c r="K39">
        <v>3</v>
      </c>
      <c r="L39" t="s">
        <v>78</v>
      </c>
      <c r="M39">
        <v>1</v>
      </c>
      <c r="N39">
        <v>5</v>
      </c>
      <c r="O39">
        <v>1</v>
      </c>
      <c r="P39" t="s">
        <v>74</v>
      </c>
      <c r="Q39" t="s">
        <v>67</v>
      </c>
      <c r="R39">
        <v>1</v>
      </c>
      <c r="S39">
        <v>10</v>
      </c>
      <c r="T39" t="s">
        <v>74</v>
      </c>
      <c r="U39" t="s">
        <v>68</v>
      </c>
      <c r="V39" t="s">
        <v>96</v>
      </c>
      <c r="W39" s="3">
        <v>45355</v>
      </c>
      <c r="X39" t="b">
        <v>1</v>
      </c>
      <c r="Y39" t="b">
        <v>0</v>
      </c>
      <c r="Z39" t="s">
        <v>92</v>
      </c>
      <c r="AA39" t="s">
        <v>97</v>
      </c>
      <c r="AB39">
        <v>10</v>
      </c>
      <c r="AO39" t="str">
        <f t="shared" si="5"/>
        <v>18-25</v>
      </c>
      <c r="BD39">
        <v>3</v>
      </c>
      <c r="BF39" cm="1">
        <f t="array" ref="BF39">CORREL(J39:J1039,S39:S1039)</f>
        <v>-0.0269021060711359</v>
      </c>
      <c r="BH39">
        <v>10</v>
      </c>
      <c r="BI39">
        <f t="shared" si="1"/>
        <v>0.3</v>
      </c>
      <c r="BJ39">
        <f t="shared" si="2"/>
        <v>33.3333333333333</v>
      </c>
    </row>
    <row r="40" spans="1:62">
      <c r="A40" s="4" t="s">
        <v>158</v>
      </c>
      <c r="B40">
        <v>36</v>
      </c>
      <c r="C40" t="s">
        <v>59</v>
      </c>
      <c r="D40" t="s">
        <v>60</v>
      </c>
      <c r="E40" t="s">
        <v>61</v>
      </c>
      <c r="F40" t="s">
        <v>87</v>
      </c>
      <c r="G40" t="s">
        <v>60</v>
      </c>
      <c r="H40" t="s">
        <v>159</v>
      </c>
      <c r="I40" t="s">
        <v>133</v>
      </c>
      <c r="J40" s="2">
        <v>371.58</v>
      </c>
      <c r="K40">
        <v>2</v>
      </c>
      <c r="L40" t="s">
        <v>65</v>
      </c>
      <c r="M40">
        <v>2</v>
      </c>
      <c r="N40">
        <v>1</v>
      </c>
      <c r="O40">
        <v>2</v>
      </c>
      <c r="P40" t="s">
        <v>74</v>
      </c>
      <c r="Q40" t="s">
        <v>80</v>
      </c>
      <c r="R40">
        <v>0</v>
      </c>
      <c r="S40">
        <v>10</v>
      </c>
      <c r="T40" t="s">
        <v>66</v>
      </c>
      <c r="U40" t="s">
        <v>90</v>
      </c>
      <c r="V40" t="s">
        <v>110</v>
      </c>
      <c r="W40" s="3">
        <v>45548</v>
      </c>
      <c r="X40" t="b">
        <v>1</v>
      </c>
      <c r="Y40" t="b">
        <v>1</v>
      </c>
      <c r="Z40" t="s">
        <v>82</v>
      </c>
      <c r="AA40" t="s">
        <v>71</v>
      </c>
      <c r="AB40">
        <v>11</v>
      </c>
      <c r="AO40" t="str">
        <f t="shared" si="5"/>
        <v>26-40</v>
      </c>
      <c r="BD40">
        <v>2</v>
      </c>
      <c r="BF40" cm="1">
        <f t="array" ref="BF40">CORREL(J40:J1040,S40:S1040)</f>
        <v>-0.0267898176849011</v>
      </c>
      <c r="BH40">
        <v>10</v>
      </c>
      <c r="BI40">
        <f t="shared" si="1"/>
        <v>0.2</v>
      </c>
      <c r="BJ40">
        <f t="shared" si="2"/>
        <v>50</v>
      </c>
    </row>
    <row r="41" spans="1:62">
      <c r="A41" s="1">
        <v>199990134</v>
      </c>
      <c r="B41">
        <v>30</v>
      </c>
      <c r="C41" t="s">
        <v>73</v>
      </c>
      <c r="D41" t="s">
        <v>60</v>
      </c>
      <c r="E41" t="s">
        <v>98</v>
      </c>
      <c r="F41" t="s">
        <v>62</v>
      </c>
      <c r="G41" t="s">
        <v>60</v>
      </c>
      <c r="H41" t="s">
        <v>160</v>
      </c>
      <c r="I41" t="s">
        <v>122</v>
      </c>
      <c r="J41" s="2">
        <v>353.4</v>
      </c>
      <c r="K41">
        <v>2</v>
      </c>
      <c r="L41" t="s">
        <v>85</v>
      </c>
      <c r="M41">
        <v>2</v>
      </c>
      <c r="N41">
        <v>3</v>
      </c>
      <c r="O41">
        <v>2</v>
      </c>
      <c r="P41" t="s">
        <v>79</v>
      </c>
      <c r="Q41" t="s">
        <v>109</v>
      </c>
      <c r="R41">
        <v>0</v>
      </c>
      <c r="S41">
        <v>1</v>
      </c>
      <c r="T41" t="s">
        <v>84</v>
      </c>
      <c r="U41" t="s">
        <v>68</v>
      </c>
      <c r="V41" t="s">
        <v>69</v>
      </c>
      <c r="W41" s="3">
        <v>45632</v>
      </c>
      <c r="X41" t="b">
        <v>0</v>
      </c>
      <c r="Y41" t="b">
        <v>1</v>
      </c>
      <c r="Z41" t="s">
        <v>92</v>
      </c>
      <c r="AA41" t="s">
        <v>71</v>
      </c>
      <c r="AB41">
        <v>3</v>
      </c>
      <c r="AO41" t="str">
        <f t="shared" si="5"/>
        <v>26-40</v>
      </c>
      <c r="BD41">
        <v>2</v>
      </c>
      <c r="BF41" cm="1">
        <f t="array" ref="BF41">CORREL(J41:J1041,S41:S1041)</f>
        <v>-0.0280756256485152</v>
      </c>
      <c r="BH41">
        <v>1</v>
      </c>
      <c r="BI41">
        <f t="shared" si="1"/>
        <v>2</v>
      </c>
      <c r="BJ41">
        <f t="shared" si="2"/>
        <v>0.5</v>
      </c>
    </row>
    <row r="42" spans="1:62">
      <c r="A42" s="1">
        <v>579891487</v>
      </c>
      <c r="B42">
        <v>46</v>
      </c>
      <c r="C42" t="s">
        <v>59</v>
      </c>
      <c r="D42" t="s">
        <v>60</v>
      </c>
      <c r="E42" t="s">
        <v>103</v>
      </c>
      <c r="F42" t="s">
        <v>75</v>
      </c>
      <c r="G42" t="s">
        <v>74</v>
      </c>
      <c r="H42" t="s">
        <v>161</v>
      </c>
      <c r="I42" t="s">
        <v>133</v>
      </c>
      <c r="J42" s="2">
        <v>329.41</v>
      </c>
      <c r="K42">
        <v>5</v>
      </c>
      <c r="L42" t="s">
        <v>78</v>
      </c>
      <c r="M42">
        <v>5</v>
      </c>
      <c r="N42">
        <v>3</v>
      </c>
      <c r="O42">
        <v>0</v>
      </c>
      <c r="P42" t="s">
        <v>79</v>
      </c>
      <c r="Q42" t="s">
        <v>67</v>
      </c>
      <c r="R42">
        <v>1</v>
      </c>
      <c r="S42">
        <v>1</v>
      </c>
      <c r="T42" t="s">
        <v>74</v>
      </c>
      <c r="U42" t="s">
        <v>105</v>
      </c>
      <c r="V42" t="s">
        <v>110</v>
      </c>
      <c r="W42" s="3">
        <v>45586</v>
      </c>
      <c r="X42" t="b">
        <v>1</v>
      </c>
      <c r="Y42" t="b">
        <v>1</v>
      </c>
      <c r="Z42" t="s">
        <v>70</v>
      </c>
      <c r="AA42" t="s">
        <v>71</v>
      </c>
      <c r="AB42">
        <v>2</v>
      </c>
      <c r="AO42" t="str">
        <f t="shared" si="5"/>
        <v>41-60</v>
      </c>
      <c r="BD42">
        <v>5</v>
      </c>
      <c r="BF42" cm="1">
        <f t="array" ref="BF42">CORREL(J42:J1042,S42:S1042)</f>
        <v>-0.0271524252804362</v>
      </c>
      <c r="BH42">
        <v>1</v>
      </c>
      <c r="BI42">
        <f t="shared" si="1"/>
        <v>5</v>
      </c>
      <c r="BJ42">
        <f t="shared" si="2"/>
        <v>0.2</v>
      </c>
    </row>
    <row r="43" spans="1:62">
      <c r="A43" s="4" t="s">
        <v>162</v>
      </c>
      <c r="B43">
        <v>46</v>
      </c>
      <c r="C43" t="s">
        <v>59</v>
      </c>
      <c r="D43" t="s">
        <v>60</v>
      </c>
      <c r="E43" t="s">
        <v>61</v>
      </c>
      <c r="F43" t="s">
        <v>87</v>
      </c>
      <c r="G43" t="s">
        <v>60</v>
      </c>
      <c r="H43" t="s">
        <v>163</v>
      </c>
      <c r="I43" t="s">
        <v>77</v>
      </c>
      <c r="J43" s="2">
        <v>54.46</v>
      </c>
      <c r="K43">
        <v>5</v>
      </c>
      <c r="L43" t="s">
        <v>85</v>
      </c>
      <c r="M43">
        <v>4</v>
      </c>
      <c r="N43">
        <v>5</v>
      </c>
      <c r="O43">
        <v>1</v>
      </c>
      <c r="P43" t="s">
        <v>74</v>
      </c>
      <c r="Q43" t="s">
        <v>80</v>
      </c>
      <c r="R43">
        <v>1</v>
      </c>
      <c r="S43">
        <v>1</v>
      </c>
      <c r="T43" t="s">
        <v>84</v>
      </c>
      <c r="U43" t="s">
        <v>68</v>
      </c>
      <c r="V43" t="s">
        <v>96</v>
      </c>
      <c r="W43" s="3">
        <v>45613</v>
      </c>
      <c r="X43" t="b">
        <v>0</v>
      </c>
      <c r="Y43" t="b">
        <v>0</v>
      </c>
      <c r="Z43" t="s">
        <v>92</v>
      </c>
      <c r="AA43" t="s">
        <v>83</v>
      </c>
      <c r="AB43">
        <v>1</v>
      </c>
      <c r="AO43" t="str">
        <f t="shared" si="5"/>
        <v>41-60</v>
      </c>
      <c r="BD43">
        <v>5</v>
      </c>
      <c r="BF43" cm="1">
        <f t="array" ref="BF43">CORREL(J43:J1043,S43:S1043)</f>
        <v>-0.0265162640014986</v>
      </c>
      <c r="BH43">
        <v>1</v>
      </c>
      <c r="BI43">
        <f t="shared" si="1"/>
        <v>5</v>
      </c>
      <c r="BJ43">
        <f t="shared" si="2"/>
        <v>0.2</v>
      </c>
    </row>
    <row r="44" spans="1:62">
      <c r="A44" s="1">
        <v>707613550</v>
      </c>
      <c r="B44">
        <v>43</v>
      </c>
      <c r="C44" t="s">
        <v>73</v>
      </c>
      <c r="D44" t="s">
        <v>74</v>
      </c>
      <c r="E44" t="s">
        <v>98</v>
      </c>
      <c r="F44" t="s">
        <v>87</v>
      </c>
      <c r="G44" t="s">
        <v>60</v>
      </c>
      <c r="H44" t="s">
        <v>164</v>
      </c>
      <c r="I44" t="s">
        <v>107</v>
      </c>
      <c r="J44" s="2">
        <v>257.12</v>
      </c>
      <c r="K44">
        <v>8</v>
      </c>
      <c r="L44" t="s">
        <v>85</v>
      </c>
      <c r="M44">
        <v>2</v>
      </c>
      <c r="N44">
        <v>1</v>
      </c>
      <c r="O44">
        <v>0</v>
      </c>
      <c r="P44" t="s">
        <v>74</v>
      </c>
      <c r="Q44" t="s">
        <v>80</v>
      </c>
      <c r="R44">
        <v>2</v>
      </c>
      <c r="S44">
        <v>1</v>
      </c>
      <c r="T44" t="s">
        <v>74</v>
      </c>
      <c r="U44" t="s">
        <v>90</v>
      </c>
      <c r="V44" t="s">
        <v>96</v>
      </c>
      <c r="W44" s="3">
        <v>45497</v>
      </c>
      <c r="X44" t="b">
        <v>1</v>
      </c>
      <c r="Y44" t="b">
        <v>0</v>
      </c>
      <c r="Z44" t="s">
        <v>92</v>
      </c>
      <c r="AA44" t="s">
        <v>71</v>
      </c>
      <c r="AB44">
        <v>11</v>
      </c>
      <c r="AO44" t="str">
        <f t="shared" si="5"/>
        <v>41-60</v>
      </c>
      <c r="BD44">
        <v>8</v>
      </c>
      <c r="BF44" cm="1">
        <f t="array" ref="BF44">CORREL(J44:J1044,S44:S1044)</f>
        <v>-0.0292966693003112</v>
      </c>
      <c r="BH44">
        <v>1</v>
      </c>
      <c r="BI44">
        <f t="shared" si="1"/>
        <v>8</v>
      </c>
      <c r="BJ44">
        <f t="shared" si="2"/>
        <v>0.125</v>
      </c>
    </row>
    <row r="45" spans="1:62">
      <c r="A45" s="1">
        <v>382423251</v>
      </c>
      <c r="B45">
        <v>43</v>
      </c>
      <c r="C45" t="s">
        <v>73</v>
      </c>
      <c r="D45" t="s">
        <v>74</v>
      </c>
      <c r="E45" t="s">
        <v>103</v>
      </c>
      <c r="F45" t="s">
        <v>62</v>
      </c>
      <c r="G45" t="s">
        <v>60</v>
      </c>
      <c r="H45" t="s">
        <v>165</v>
      </c>
      <c r="I45" t="s">
        <v>143</v>
      </c>
      <c r="J45" s="2">
        <v>293.04</v>
      </c>
      <c r="K45">
        <v>11</v>
      </c>
      <c r="L45" t="s">
        <v>78</v>
      </c>
      <c r="M45">
        <v>4</v>
      </c>
      <c r="N45">
        <v>2</v>
      </c>
      <c r="O45">
        <v>1</v>
      </c>
      <c r="P45" t="s">
        <v>66</v>
      </c>
      <c r="Q45" t="s">
        <v>109</v>
      </c>
      <c r="R45">
        <v>1</v>
      </c>
      <c r="S45">
        <v>3</v>
      </c>
      <c r="T45" t="s">
        <v>84</v>
      </c>
      <c r="U45" t="s">
        <v>105</v>
      </c>
      <c r="V45" t="s">
        <v>81</v>
      </c>
      <c r="W45" s="3">
        <v>45354</v>
      </c>
      <c r="X45" t="b">
        <v>1</v>
      </c>
      <c r="Y45" t="b">
        <v>0</v>
      </c>
      <c r="Z45" t="s">
        <v>102</v>
      </c>
      <c r="AA45" t="s">
        <v>83</v>
      </c>
      <c r="AB45">
        <v>6</v>
      </c>
      <c r="AO45" t="str">
        <f t="shared" si="5"/>
        <v>41-60</v>
      </c>
      <c r="BD45">
        <v>11</v>
      </c>
      <c r="BF45" cm="1">
        <f t="array" ref="BF45">CORREL(J45:J1045,S45:S1045)</f>
        <v>-0.029550996804884</v>
      </c>
      <c r="BH45">
        <v>3</v>
      </c>
      <c r="BI45">
        <f t="shared" si="1"/>
        <v>3.66666666666667</v>
      </c>
      <c r="BJ45">
        <f t="shared" si="2"/>
        <v>0.818181818181818</v>
      </c>
    </row>
    <row r="46" spans="1:62">
      <c r="A46" s="1">
        <v>955250842</v>
      </c>
      <c r="B46">
        <v>34</v>
      </c>
      <c r="C46" t="s">
        <v>73</v>
      </c>
      <c r="D46" t="s">
        <v>74</v>
      </c>
      <c r="E46" t="s">
        <v>86</v>
      </c>
      <c r="F46" t="s">
        <v>87</v>
      </c>
      <c r="G46" t="s">
        <v>74</v>
      </c>
      <c r="H46" t="s">
        <v>166</v>
      </c>
      <c r="I46" t="s">
        <v>107</v>
      </c>
      <c r="J46" s="2">
        <v>110.4</v>
      </c>
      <c r="K46">
        <v>12</v>
      </c>
      <c r="L46" t="s">
        <v>65</v>
      </c>
      <c r="M46">
        <v>5</v>
      </c>
      <c r="N46">
        <v>1</v>
      </c>
      <c r="O46">
        <v>2</v>
      </c>
      <c r="P46" t="s">
        <v>66</v>
      </c>
      <c r="Q46" t="s">
        <v>67</v>
      </c>
      <c r="R46">
        <v>1</v>
      </c>
      <c r="S46">
        <v>3</v>
      </c>
      <c r="T46" t="s">
        <v>79</v>
      </c>
      <c r="U46" t="s">
        <v>68</v>
      </c>
      <c r="V46" t="s">
        <v>91</v>
      </c>
      <c r="W46" s="3">
        <v>45609</v>
      </c>
      <c r="X46" t="b">
        <v>0</v>
      </c>
      <c r="Y46" t="b">
        <v>0</v>
      </c>
      <c r="Z46" t="s">
        <v>70</v>
      </c>
      <c r="AA46" t="s">
        <v>83</v>
      </c>
      <c r="AB46">
        <v>12</v>
      </c>
      <c r="AO46" t="str">
        <f t="shared" si="5"/>
        <v>26-40</v>
      </c>
      <c r="BD46">
        <v>12</v>
      </c>
      <c r="BF46" cm="1">
        <f t="array" ref="BF46">CORREL(J46:J1046,S46:S1046)</f>
        <v>-0.0294391383971463</v>
      </c>
      <c r="BH46">
        <v>3</v>
      </c>
      <c r="BI46">
        <f t="shared" si="1"/>
        <v>4</v>
      </c>
      <c r="BJ46">
        <f t="shared" si="2"/>
        <v>0.75</v>
      </c>
    </row>
    <row r="47" spans="1:62">
      <c r="A47" s="1">
        <v>371014922</v>
      </c>
      <c r="B47">
        <v>42</v>
      </c>
      <c r="C47" t="s">
        <v>59</v>
      </c>
      <c r="D47" t="s">
        <v>60</v>
      </c>
      <c r="E47" t="s">
        <v>61</v>
      </c>
      <c r="F47" t="s">
        <v>87</v>
      </c>
      <c r="G47" t="s">
        <v>74</v>
      </c>
      <c r="H47" t="s">
        <v>167</v>
      </c>
      <c r="I47" t="s">
        <v>115</v>
      </c>
      <c r="J47" s="2">
        <v>76.27</v>
      </c>
      <c r="K47">
        <v>4</v>
      </c>
      <c r="L47" t="s">
        <v>78</v>
      </c>
      <c r="M47">
        <v>2</v>
      </c>
      <c r="N47">
        <v>3</v>
      </c>
      <c r="O47">
        <v>0</v>
      </c>
      <c r="P47" t="s">
        <v>66</v>
      </c>
      <c r="Q47" t="s">
        <v>80</v>
      </c>
      <c r="R47">
        <v>0</v>
      </c>
      <c r="S47">
        <v>8</v>
      </c>
      <c r="T47" t="s">
        <v>79</v>
      </c>
      <c r="U47" t="s">
        <v>90</v>
      </c>
      <c r="V47" t="s">
        <v>69</v>
      </c>
      <c r="W47" s="3">
        <v>45650</v>
      </c>
      <c r="X47" t="b">
        <v>1</v>
      </c>
      <c r="Y47" t="b">
        <v>0</v>
      </c>
      <c r="Z47" t="s">
        <v>82</v>
      </c>
      <c r="AA47" t="s">
        <v>83</v>
      </c>
      <c r="AB47">
        <v>10</v>
      </c>
      <c r="AO47" t="str">
        <f t="shared" si="5"/>
        <v>41-60</v>
      </c>
      <c r="BD47">
        <v>4</v>
      </c>
      <c r="BF47" cm="1">
        <f t="array" ref="BF47">CORREL(J47:J1047,S47:S1047)</f>
        <v>-0.0305855073750944</v>
      </c>
      <c r="BH47">
        <v>8</v>
      </c>
      <c r="BI47">
        <f t="shared" si="1"/>
        <v>0.5</v>
      </c>
      <c r="BJ47">
        <f t="shared" si="2"/>
        <v>16</v>
      </c>
    </row>
    <row r="48" spans="1:62">
      <c r="A48" s="1">
        <v>371285425</v>
      </c>
      <c r="B48">
        <v>40</v>
      </c>
      <c r="C48" t="s">
        <v>59</v>
      </c>
      <c r="D48" t="s">
        <v>74</v>
      </c>
      <c r="E48" t="s">
        <v>98</v>
      </c>
      <c r="F48" t="s">
        <v>62</v>
      </c>
      <c r="G48" t="s">
        <v>60</v>
      </c>
      <c r="H48" t="s">
        <v>168</v>
      </c>
      <c r="I48" t="s">
        <v>137</v>
      </c>
      <c r="J48" s="2">
        <v>392.08</v>
      </c>
      <c r="K48">
        <v>6</v>
      </c>
      <c r="L48" t="s">
        <v>85</v>
      </c>
      <c r="M48">
        <v>2</v>
      </c>
      <c r="N48">
        <v>5</v>
      </c>
      <c r="O48">
        <v>1</v>
      </c>
      <c r="P48" t="s">
        <v>66</v>
      </c>
      <c r="Q48" t="s">
        <v>109</v>
      </c>
      <c r="R48">
        <v>2</v>
      </c>
      <c r="S48">
        <v>7</v>
      </c>
      <c r="T48" t="s">
        <v>74</v>
      </c>
      <c r="U48" t="s">
        <v>68</v>
      </c>
      <c r="V48" t="s">
        <v>96</v>
      </c>
      <c r="W48" s="3">
        <v>45508</v>
      </c>
      <c r="X48" t="b">
        <v>1</v>
      </c>
      <c r="Y48" t="b">
        <v>1</v>
      </c>
      <c r="Z48" t="s">
        <v>70</v>
      </c>
      <c r="AA48" t="s">
        <v>97</v>
      </c>
      <c r="AB48">
        <v>6</v>
      </c>
      <c r="AO48" t="str">
        <f t="shared" si="5"/>
        <v>26-40</v>
      </c>
      <c r="BD48">
        <v>6</v>
      </c>
      <c r="BF48" cm="1">
        <f t="array" ref="BF48">CORREL(J48:J1048,S48:S1048)</f>
        <v>-0.0291891969805336</v>
      </c>
      <c r="BH48">
        <v>7</v>
      </c>
      <c r="BI48">
        <f t="shared" si="1"/>
        <v>0.857142857142857</v>
      </c>
      <c r="BJ48">
        <f t="shared" si="2"/>
        <v>8.16666666666667</v>
      </c>
    </row>
    <row r="49" spans="1:62">
      <c r="A49" s="1">
        <v>274399545</v>
      </c>
      <c r="B49">
        <v>25</v>
      </c>
      <c r="C49" t="s">
        <v>59</v>
      </c>
      <c r="D49" t="s">
        <v>74</v>
      </c>
      <c r="E49" t="s">
        <v>61</v>
      </c>
      <c r="F49" t="s">
        <v>62</v>
      </c>
      <c r="G49" t="s">
        <v>74</v>
      </c>
      <c r="H49" t="s">
        <v>169</v>
      </c>
      <c r="I49" t="s">
        <v>137</v>
      </c>
      <c r="J49" s="2">
        <v>51.22</v>
      </c>
      <c r="K49">
        <v>6</v>
      </c>
      <c r="L49" t="s">
        <v>85</v>
      </c>
      <c r="M49">
        <v>2</v>
      </c>
      <c r="N49">
        <v>1</v>
      </c>
      <c r="O49">
        <v>0</v>
      </c>
      <c r="P49" t="s">
        <v>66</v>
      </c>
      <c r="Q49" t="s">
        <v>109</v>
      </c>
      <c r="R49">
        <v>1</v>
      </c>
      <c r="S49">
        <v>5</v>
      </c>
      <c r="T49" t="s">
        <v>79</v>
      </c>
      <c r="U49" t="s">
        <v>68</v>
      </c>
      <c r="V49" t="s">
        <v>110</v>
      </c>
      <c r="W49" s="3">
        <v>45529</v>
      </c>
      <c r="X49" t="b">
        <v>1</v>
      </c>
      <c r="Y49" t="b">
        <v>1</v>
      </c>
      <c r="Z49" t="s">
        <v>102</v>
      </c>
      <c r="AA49" t="s">
        <v>83</v>
      </c>
      <c r="AB49">
        <v>5</v>
      </c>
      <c r="AO49" t="str">
        <f t="shared" si="5"/>
        <v>18-25</v>
      </c>
      <c r="BD49">
        <v>6</v>
      </c>
      <c r="BF49" cm="1">
        <f t="array" ref="BF49">CORREL(J49:J1049,S49:S1049)</f>
        <v>-0.0297300850237846</v>
      </c>
      <c r="BH49">
        <v>5</v>
      </c>
      <c r="BI49">
        <f t="shared" si="1"/>
        <v>1.2</v>
      </c>
      <c r="BJ49">
        <f t="shared" si="2"/>
        <v>4.16666666666667</v>
      </c>
    </row>
    <row r="50" spans="1:62">
      <c r="A50" s="1">
        <v>371267954</v>
      </c>
      <c r="B50">
        <v>38</v>
      </c>
      <c r="C50" t="s">
        <v>73</v>
      </c>
      <c r="D50" t="s">
        <v>60</v>
      </c>
      <c r="E50" t="s">
        <v>103</v>
      </c>
      <c r="F50" t="s">
        <v>62</v>
      </c>
      <c r="G50" t="s">
        <v>74</v>
      </c>
      <c r="H50" t="s">
        <v>170</v>
      </c>
      <c r="I50" t="s">
        <v>171</v>
      </c>
      <c r="J50" s="2">
        <v>227.57</v>
      </c>
      <c r="K50">
        <v>2</v>
      </c>
      <c r="L50" t="s">
        <v>85</v>
      </c>
      <c r="M50">
        <v>1</v>
      </c>
      <c r="N50">
        <v>2</v>
      </c>
      <c r="O50">
        <v>0</v>
      </c>
      <c r="P50" t="s">
        <v>74</v>
      </c>
      <c r="Q50" t="s">
        <v>67</v>
      </c>
      <c r="R50">
        <v>1</v>
      </c>
      <c r="S50">
        <v>6</v>
      </c>
      <c r="T50" t="s">
        <v>66</v>
      </c>
      <c r="U50" t="s">
        <v>68</v>
      </c>
      <c r="V50" t="s">
        <v>81</v>
      </c>
      <c r="W50" s="3">
        <v>45521</v>
      </c>
      <c r="X50" t="b">
        <v>0</v>
      </c>
      <c r="Y50" t="b">
        <v>1</v>
      </c>
      <c r="Z50" t="s">
        <v>82</v>
      </c>
      <c r="AA50" t="s">
        <v>71</v>
      </c>
      <c r="AB50">
        <v>14</v>
      </c>
      <c r="AO50" t="str">
        <f t="shared" si="5"/>
        <v>26-40</v>
      </c>
      <c r="BD50">
        <v>2</v>
      </c>
      <c r="BF50" cm="1">
        <f t="array" ref="BF50">CORREL(J50:J1050,S50:S1050)</f>
        <v>-0.0300323345506819</v>
      </c>
      <c r="BH50">
        <v>6</v>
      </c>
      <c r="BI50">
        <f t="shared" si="1"/>
        <v>0.333333333333333</v>
      </c>
      <c r="BJ50">
        <f t="shared" si="2"/>
        <v>18</v>
      </c>
    </row>
    <row r="51" spans="1:62">
      <c r="A51" s="1">
        <v>829900504</v>
      </c>
      <c r="B51">
        <v>46</v>
      </c>
      <c r="C51" t="s">
        <v>59</v>
      </c>
      <c r="D51" t="s">
        <v>60</v>
      </c>
      <c r="E51" t="s">
        <v>98</v>
      </c>
      <c r="F51" t="s">
        <v>62</v>
      </c>
      <c r="G51" t="s">
        <v>60</v>
      </c>
      <c r="H51" t="s">
        <v>172</v>
      </c>
      <c r="I51" t="s">
        <v>156</v>
      </c>
      <c r="J51" s="2">
        <v>378.87</v>
      </c>
      <c r="K51">
        <v>7</v>
      </c>
      <c r="L51" t="s">
        <v>85</v>
      </c>
      <c r="M51">
        <v>1</v>
      </c>
      <c r="N51">
        <v>2</v>
      </c>
      <c r="O51">
        <v>0</v>
      </c>
      <c r="P51" t="s">
        <v>66</v>
      </c>
      <c r="Q51" t="s">
        <v>109</v>
      </c>
      <c r="R51">
        <v>1</v>
      </c>
      <c r="S51">
        <v>2</v>
      </c>
      <c r="T51" t="s">
        <v>84</v>
      </c>
      <c r="U51" t="s">
        <v>68</v>
      </c>
      <c r="V51" t="s">
        <v>81</v>
      </c>
      <c r="W51" s="3">
        <v>45383</v>
      </c>
      <c r="X51" t="b">
        <v>1</v>
      </c>
      <c r="Y51" t="b">
        <v>0</v>
      </c>
      <c r="Z51" t="s">
        <v>102</v>
      </c>
      <c r="AA51" t="s">
        <v>71</v>
      </c>
      <c r="AB51">
        <v>5</v>
      </c>
      <c r="AO51" t="str">
        <f t="shared" si="5"/>
        <v>41-60</v>
      </c>
      <c r="BD51">
        <v>7</v>
      </c>
      <c r="BF51" cm="1">
        <f t="array" ref="BF51">CORREL(J51:J1051,S51:S1051)</f>
        <v>-0.0299553668326522</v>
      </c>
      <c r="BH51">
        <v>2</v>
      </c>
      <c r="BI51">
        <f t="shared" si="1"/>
        <v>3.5</v>
      </c>
      <c r="BJ51">
        <f t="shared" si="2"/>
        <v>0.571428571428571</v>
      </c>
    </row>
    <row r="52" spans="1:62">
      <c r="A52" s="1">
        <v>217340212</v>
      </c>
      <c r="B52">
        <v>24</v>
      </c>
      <c r="C52" t="s">
        <v>59</v>
      </c>
      <c r="D52" t="s">
        <v>60</v>
      </c>
      <c r="E52" t="s">
        <v>98</v>
      </c>
      <c r="F52" t="s">
        <v>75</v>
      </c>
      <c r="G52" t="s">
        <v>74</v>
      </c>
      <c r="H52" t="s">
        <v>173</v>
      </c>
      <c r="I52" t="s">
        <v>174</v>
      </c>
      <c r="J52" s="2">
        <v>423.92</v>
      </c>
      <c r="K52">
        <v>8</v>
      </c>
      <c r="L52" t="s">
        <v>65</v>
      </c>
      <c r="M52">
        <v>3</v>
      </c>
      <c r="N52">
        <v>1</v>
      </c>
      <c r="O52">
        <v>2</v>
      </c>
      <c r="P52" t="s">
        <v>84</v>
      </c>
      <c r="Q52" t="s">
        <v>67</v>
      </c>
      <c r="R52">
        <v>0</v>
      </c>
      <c r="S52">
        <v>9</v>
      </c>
      <c r="T52" t="s">
        <v>74</v>
      </c>
      <c r="U52" t="s">
        <v>68</v>
      </c>
      <c r="V52" t="s">
        <v>69</v>
      </c>
      <c r="W52" s="3">
        <v>45528</v>
      </c>
      <c r="X52" t="b">
        <v>0</v>
      </c>
      <c r="Y52" t="b">
        <v>1</v>
      </c>
      <c r="Z52" t="s">
        <v>70</v>
      </c>
      <c r="AA52" t="s">
        <v>83</v>
      </c>
      <c r="AB52">
        <v>8</v>
      </c>
      <c r="AO52" t="str">
        <f t="shared" si="5"/>
        <v>18-25</v>
      </c>
      <c r="BD52">
        <v>8</v>
      </c>
      <c r="BF52" cm="1">
        <f t="array" ref="BF52">CORREL(J52:J1052,S52:S1052)</f>
        <v>-0.0289925628103257</v>
      </c>
      <c r="BH52">
        <v>9</v>
      </c>
      <c r="BI52">
        <f t="shared" si="1"/>
        <v>0.888888888888889</v>
      </c>
      <c r="BJ52">
        <f t="shared" si="2"/>
        <v>10.125</v>
      </c>
    </row>
    <row r="53" spans="1:62">
      <c r="A53" s="1">
        <v>761489413</v>
      </c>
      <c r="B53">
        <v>43</v>
      </c>
      <c r="C53" t="s">
        <v>175</v>
      </c>
      <c r="D53" t="s">
        <v>74</v>
      </c>
      <c r="E53" t="s">
        <v>98</v>
      </c>
      <c r="F53" t="s">
        <v>87</v>
      </c>
      <c r="G53" t="s">
        <v>60</v>
      </c>
      <c r="H53" t="s">
        <v>176</v>
      </c>
      <c r="I53" t="s">
        <v>143</v>
      </c>
      <c r="J53" s="2">
        <v>111.24</v>
      </c>
      <c r="K53">
        <v>9</v>
      </c>
      <c r="L53" t="s">
        <v>65</v>
      </c>
      <c r="M53">
        <v>5</v>
      </c>
      <c r="N53">
        <v>2</v>
      </c>
      <c r="O53">
        <v>0</v>
      </c>
      <c r="P53" t="s">
        <v>79</v>
      </c>
      <c r="Q53" t="s">
        <v>67</v>
      </c>
      <c r="R53">
        <v>0</v>
      </c>
      <c r="S53">
        <v>2</v>
      </c>
      <c r="T53" t="s">
        <v>74</v>
      </c>
      <c r="U53" t="s">
        <v>90</v>
      </c>
      <c r="V53" t="s">
        <v>69</v>
      </c>
      <c r="W53" s="3">
        <v>45510</v>
      </c>
      <c r="X53" t="b">
        <v>1</v>
      </c>
      <c r="Y53" t="b">
        <v>0</v>
      </c>
      <c r="Z53" t="s">
        <v>70</v>
      </c>
      <c r="AA53" t="s">
        <v>71</v>
      </c>
      <c r="AB53">
        <v>12</v>
      </c>
      <c r="AO53" t="str">
        <f t="shared" si="5"/>
        <v>41-60</v>
      </c>
      <c r="BD53">
        <v>9</v>
      </c>
      <c r="BF53" cm="1">
        <f t="array" ref="BF53">CORREL(J53:J1053,S53:S1053)</f>
        <v>-0.0305453329365114</v>
      </c>
      <c r="BH53">
        <v>2</v>
      </c>
      <c r="BI53">
        <f t="shared" si="1"/>
        <v>4.5</v>
      </c>
      <c r="BJ53">
        <f t="shared" si="2"/>
        <v>0.444444444444444</v>
      </c>
    </row>
    <row r="54" spans="1:62">
      <c r="A54" s="1">
        <v>536393774</v>
      </c>
      <c r="B54">
        <v>37</v>
      </c>
      <c r="C54" t="s">
        <v>59</v>
      </c>
      <c r="D54" t="s">
        <v>60</v>
      </c>
      <c r="E54" t="s">
        <v>86</v>
      </c>
      <c r="F54" t="s">
        <v>62</v>
      </c>
      <c r="G54" t="s">
        <v>60</v>
      </c>
      <c r="H54" t="s">
        <v>177</v>
      </c>
      <c r="I54" t="s">
        <v>178</v>
      </c>
      <c r="J54" s="2">
        <v>299.31</v>
      </c>
      <c r="K54">
        <v>7</v>
      </c>
      <c r="L54" t="s">
        <v>65</v>
      </c>
      <c r="M54">
        <v>2</v>
      </c>
      <c r="N54">
        <v>4</v>
      </c>
      <c r="O54">
        <v>1</v>
      </c>
      <c r="P54" t="s">
        <v>79</v>
      </c>
      <c r="Q54" t="s">
        <v>109</v>
      </c>
      <c r="R54">
        <v>2</v>
      </c>
      <c r="S54">
        <v>3</v>
      </c>
      <c r="T54" t="s">
        <v>66</v>
      </c>
      <c r="U54" t="s">
        <v>105</v>
      </c>
      <c r="V54" t="s">
        <v>91</v>
      </c>
      <c r="W54" s="3">
        <v>45323</v>
      </c>
      <c r="X54" t="b">
        <v>1</v>
      </c>
      <c r="Y54" t="b">
        <v>0</v>
      </c>
      <c r="Z54" t="s">
        <v>70</v>
      </c>
      <c r="AA54" t="s">
        <v>97</v>
      </c>
      <c r="AB54">
        <v>3</v>
      </c>
      <c r="AO54" t="str">
        <f t="shared" si="5"/>
        <v>26-40</v>
      </c>
      <c r="BD54">
        <v>7</v>
      </c>
      <c r="BF54" cm="1">
        <f t="array" ref="BF54">CORREL(J54:J1054,S54:S1054)</f>
        <v>-0.0321722924836501</v>
      </c>
      <c r="BH54">
        <v>3</v>
      </c>
      <c r="BI54">
        <f t="shared" si="1"/>
        <v>2.33333333333333</v>
      </c>
      <c r="BJ54">
        <f t="shared" si="2"/>
        <v>1.28571428571429</v>
      </c>
    </row>
    <row r="55" spans="1:62">
      <c r="A55" s="1">
        <v>208179584</v>
      </c>
      <c r="B55">
        <v>42</v>
      </c>
      <c r="C55" t="s">
        <v>73</v>
      </c>
      <c r="D55" t="s">
        <v>60</v>
      </c>
      <c r="E55" t="s">
        <v>98</v>
      </c>
      <c r="F55" t="s">
        <v>87</v>
      </c>
      <c r="G55" t="s">
        <v>60</v>
      </c>
      <c r="H55" t="s">
        <v>179</v>
      </c>
      <c r="I55" t="s">
        <v>120</v>
      </c>
      <c r="J55" s="2">
        <v>169.28</v>
      </c>
      <c r="K55">
        <v>7</v>
      </c>
      <c r="L55" t="s">
        <v>65</v>
      </c>
      <c r="M55">
        <v>4</v>
      </c>
      <c r="N55">
        <v>4</v>
      </c>
      <c r="O55">
        <v>1</v>
      </c>
      <c r="P55" t="s">
        <v>66</v>
      </c>
      <c r="Q55" t="s">
        <v>67</v>
      </c>
      <c r="R55">
        <v>2</v>
      </c>
      <c r="S55">
        <v>1</v>
      </c>
      <c r="T55" t="s">
        <v>84</v>
      </c>
      <c r="U55" t="s">
        <v>68</v>
      </c>
      <c r="V55" t="s">
        <v>110</v>
      </c>
      <c r="W55" s="3">
        <v>45460</v>
      </c>
      <c r="X55" t="b">
        <v>1</v>
      </c>
      <c r="Y55" t="b">
        <v>1</v>
      </c>
      <c r="Z55" t="s">
        <v>92</v>
      </c>
      <c r="AA55" t="s">
        <v>71</v>
      </c>
      <c r="AB55">
        <v>6</v>
      </c>
      <c r="AO55" t="str">
        <f t="shared" si="5"/>
        <v>41-60</v>
      </c>
      <c r="BD55">
        <v>7</v>
      </c>
      <c r="BF55" cm="1">
        <f t="array" ref="BF55">CORREL(J55:J1055,S55:S1055)</f>
        <v>-0.0320205932422459</v>
      </c>
      <c r="BH55">
        <v>1</v>
      </c>
      <c r="BI55">
        <f t="shared" si="1"/>
        <v>7</v>
      </c>
      <c r="BJ55">
        <f t="shared" si="2"/>
        <v>0.142857142857143</v>
      </c>
    </row>
    <row r="56" spans="1:62">
      <c r="A56" s="1">
        <v>186553670</v>
      </c>
      <c r="B56">
        <v>29</v>
      </c>
      <c r="C56" t="s">
        <v>73</v>
      </c>
      <c r="D56" t="s">
        <v>60</v>
      </c>
      <c r="E56" t="s">
        <v>98</v>
      </c>
      <c r="F56" t="s">
        <v>75</v>
      </c>
      <c r="G56" t="s">
        <v>74</v>
      </c>
      <c r="H56" t="s">
        <v>180</v>
      </c>
      <c r="I56" t="s">
        <v>89</v>
      </c>
      <c r="J56" s="2">
        <v>449.13</v>
      </c>
      <c r="K56">
        <v>9</v>
      </c>
      <c r="L56" t="s">
        <v>78</v>
      </c>
      <c r="M56">
        <v>2</v>
      </c>
      <c r="N56">
        <v>1</v>
      </c>
      <c r="O56">
        <v>0.5</v>
      </c>
      <c r="P56" t="s">
        <v>79</v>
      </c>
      <c r="Q56" t="s">
        <v>80</v>
      </c>
      <c r="R56">
        <v>2</v>
      </c>
      <c r="S56">
        <v>2</v>
      </c>
      <c r="T56" t="s">
        <v>84</v>
      </c>
      <c r="U56" t="s">
        <v>68</v>
      </c>
      <c r="V56" t="s">
        <v>69</v>
      </c>
      <c r="W56" s="3">
        <v>45455</v>
      </c>
      <c r="X56" t="b">
        <v>0</v>
      </c>
      <c r="Y56" t="b">
        <v>0</v>
      </c>
      <c r="Z56" t="s">
        <v>102</v>
      </c>
      <c r="AA56" t="s">
        <v>71</v>
      </c>
      <c r="AB56">
        <v>14</v>
      </c>
      <c r="AO56" t="str">
        <f t="shared" si="5"/>
        <v>26-40</v>
      </c>
      <c r="BD56">
        <v>9</v>
      </c>
      <c r="BF56" cm="1">
        <f t="array" ref="BF56">CORREL(J56:J1056,S56:S1056)</f>
        <v>-0.0333970920737667</v>
      </c>
      <c r="BH56">
        <v>2</v>
      </c>
      <c r="BI56">
        <f t="shared" si="1"/>
        <v>4.5</v>
      </c>
      <c r="BJ56">
        <f t="shared" si="2"/>
        <v>0.444444444444444</v>
      </c>
    </row>
    <row r="57" spans="1:62">
      <c r="A57" s="1">
        <v>724315021</v>
      </c>
      <c r="B57">
        <v>35</v>
      </c>
      <c r="C57" t="s">
        <v>59</v>
      </c>
      <c r="D57" t="s">
        <v>74</v>
      </c>
      <c r="E57" t="s">
        <v>61</v>
      </c>
      <c r="F57" t="s">
        <v>87</v>
      </c>
      <c r="G57" t="s">
        <v>74</v>
      </c>
      <c r="H57" t="s">
        <v>181</v>
      </c>
      <c r="I57" t="s">
        <v>120</v>
      </c>
      <c r="J57" s="2">
        <v>427.48</v>
      </c>
      <c r="K57">
        <v>6</v>
      </c>
      <c r="L57" t="s">
        <v>85</v>
      </c>
      <c r="M57">
        <v>4</v>
      </c>
      <c r="N57">
        <v>2</v>
      </c>
      <c r="O57">
        <v>0</v>
      </c>
      <c r="P57" t="s">
        <v>79</v>
      </c>
      <c r="Q57" t="s">
        <v>80</v>
      </c>
      <c r="R57">
        <v>1</v>
      </c>
      <c r="S57">
        <v>1</v>
      </c>
      <c r="T57" t="s">
        <v>84</v>
      </c>
      <c r="U57" t="s">
        <v>90</v>
      </c>
      <c r="V57" t="s">
        <v>91</v>
      </c>
      <c r="W57" s="3">
        <v>45642</v>
      </c>
      <c r="X57" t="b">
        <v>1</v>
      </c>
      <c r="Y57" t="b">
        <v>0</v>
      </c>
      <c r="Z57" t="s">
        <v>92</v>
      </c>
      <c r="AA57" t="s">
        <v>83</v>
      </c>
      <c r="AB57">
        <v>11</v>
      </c>
      <c r="AO57" t="str">
        <f t="shared" si="5"/>
        <v>26-40</v>
      </c>
      <c r="BD57">
        <v>6</v>
      </c>
      <c r="BF57" cm="1">
        <f t="array" ref="BF57">CORREL(J57:J1057,S57:S1057)</f>
        <v>-0.0317668104901137</v>
      </c>
      <c r="BH57">
        <v>1</v>
      </c>
      <c r="BI57">
        <f t="shared" si="1"/>
        <v>6</v>
      </c>
      <c r="BJ57">
        <f t="shared" si="2"/>
        <v>0.166666666666667</v>
      </c>
    </row>
    <row r="58" spans="1:62">
      <c r="A58" s="4" t="s">
        <v>182</v>
      </c>
      <c r="B58">
        <v>27</v>
      </c>
      <c r="C58" t="s">
        <v>59</v>
      </c>
      <c r="D58" t="s">
        <v>60</v>
      </c>
      <c r="E58" t="s">
        <v>86</v>
      </c>
      <c r="F58" t="s">
        <v>75</v>
      </c>
      <c r="G58" t="s">
        <v>74</v>
      </c>
      <c r="H58" t="s">
        <v>183</v>
      </c>
      <c r="I58" t="s">
        <v>113</v>
      </c>
      <c r="J58" s="2">
        <v>171.61</v>
      </c>
      <c r="K58">
        <v>3</v>
      </c>
      <c r="L58" t="s">
        <v>85</v>
      </c>
      <c r="M58">
        <v>3</v>
      </c>
      <c r="N58">
        <v>1</v>
      </c>
      <c r="O58">
        <v>2</v>
      </c>
      <c r="P58" t="s">
        <v>84</v>
      </c>
      <c r="Q58" t="s">
        <v>109</v>
      </c>
      <c r="R58">
        <v>1</v>
      </c>
      <c r="S58">
        <v>6</v>
      </c>
      <c r="T58" t="s">
        <v>74</v>
      </c>
      <c r="U58" t="s">
        <v>105</v>
      </c>
      <c r="V58" t="s">
        <v>69</v>
      </c>
      <c r="W58" s="3">
        <v>45596</v>
      </c>
      <c r="X58" t="b">
        <v>1</v>
      </c>
      <c r="Y58" t="b">
        <v>0</v>
      </c>
      <c r="Z58" t="s">
        <v>102</v>
      </c>
      <c r="AA58" t="s">
        <v>97</v>
      </c>
      <c r="AB58">
        <v>8</v>
      </c>
      <c r="AO58" t="str">
        <f t="shared" si="5"/>
        <v>26-40</v>
      </c>
      <c r="BD58">
        <v>3</v>
      </c>
      <c r="BF58" cm="1">
        <f t="array" ref="BF58">CORREL(J58:J1058,S58:S1058)</f>
        <v>-0.0299133941685878</v>
      </c>
      <c r="BH58">
        <v>6</v>
      </c>
      <c r="BI58">
        <f t="shared" si="1"/>
        <v>0.5</v>
      </c>
      <c r="BJ58">
        <f t="shared" si="2"/>
        <v>12</v>
      </c>
    </row>
    <row r="59" spans="1:62">
      <c r="A59" s="1">
        <v>170326274</v>
      </c>
      <c r="B59">
        <v>40</v>
      </c>
      <c r="C59" t="s">
        <v>59</v>
      </c>
      <c r="D59" t="s">
        <v>74</v>
      </c>
      <c r="E59" t="s">
        <v>61</v>
      </c>
      <c r="F59" t="s">
        <v>62</v>
      </c>
      <c r="G59" t="s">
        <v>74</v>
      </c>
      <c r="H59" t="s">
        <v>184</v>
      </c>
      <c r="I59" t="s">
        <v>107</v>
      </c>
      <c r="J59" s="2">
        <v>240.28</v>
      </c>
      <c r="K59">
        <v>3</v>
      </c>
      <c r="L59" t="s">
        <v>85</v>
      </c>
      <c r="M59">
        <v>3</v>
      </c>
      <c r="N59">
        <v>5</v>
      </c>
      <c r="O59">
        <v>2</v>
      </c>
      <c r="P59" t="s">
        <v>74</v>
      </c>
      <c r="Q59" t="s">
        <v>80</v>
      </c>
      <c r="R59">
        <v>2</v>
      </c>
      <c r="S59">
        <v>7</v>
      </c>
      <c r="T59" t="s">
        <v>79</v>
      </c>
      <c r="U59" t="s">
        <v>68</v>
      </c>
      <c r="V59" t="s">
        <v>110</v>
      </c>
      <c r="W59" s="3">
        <v>45633</v>
      </c>
      <c r="X59" t="b">
        <v>1</v>
      </c>
      <c r="Y59" t="b">
        <v>1</v>
      </c>
      <c r="Z59" t="s">
        <v>92</v>
      </c>
      <c r="AA59" t="s">
        <v>83</v>
      </c>
      <c r="AB59">
        <v>4</v>
      </c>
      <c r="AO59" t="str">
        <f t="shared" si="5"/>
        <v>26-40</v>
      </c>
      <c r="BD59">
        <v>3</v>
      </c>
      <c r="BF59" cm="1">
        <f t="array" ref="BF59">CORREL(J59:J1059,S59:S1059)</f>
        <v>-0.0297547208130255</v>
      </c>
      <c r="BH59">
        <v>7</v>
      </c>
      <c r="BI59">
        <f t="shared" si="1"/>
        <v>0.428571428571429</v>
      </c>
      <c r="BJ59">
        <f t="shared" si="2"/>
        <v>16.3333333333333</v>
      </c>
    </row>
    <row r="60" spans="1:62">
      <c r="A60" s="1">
        <v>641669097</v>
      </c>
      <c r="B60">
        <v>34</v>
      </c>
      <c r="C60" t="s">
        <v>59</v>
      </c>
      <c r="D60" t="s">
        <v>74</v>
      </c>
      <c r="E60" t="s">
        <v>86</v>
      </c>
      <c r="F60" t="s">
        <v>75</v>
      </c>
      <c r="G60" t="s">
        <v>74</v>
      </c>
      <c r="H60" t="s">
        <v>185</v>
      </c>
      <c r="I60" t="s">
        <v>100</v>
      </c>
      <c r="J60" s="2">
        <v>310.17</v>
      </c>
      <c r="K60">
        <v>6</v>
      </c>
      <c r="L60" t="s">
        <v>78</v>
      </c>
      <c r="M60">
        <v>2</v>
      </c>
      <c r="N60">
        <v>3</v>
      </c>
      <c r="O60">
        <v>2</v>
      </c>
      <c r="P60" t="s">
        <v>79</v>
      </c>
      <c r="Q60" t="s">
        <v>109</v>
      </c>
      <c r="R60">
        <v>0</v>
      </c>
      <c r="S60">
        <v>10</v>
      </c>
      <c r="T60" t="s">
        <v>66</v>
      </c>
      <c r="U60" t="s">
        <v>90</v>
      </c>
      <c r="V60" t="s">
        <v>91</v>
      </c>
      <c r="W60" s="3">
        <v>45346</v>
      </c>
      <c r="X60" t="b">
        <v>0</v>
      </c>
      <c r="Y60" t="b">
        <v>0</v>
      </c>
      <c r="Z60" t="s">
        <v>82</v>
      </c>
      <c r="AA60" t="s">
        <v>71</v>
      </c>
      <c r="AB60">
        <v>13</v>
      </c>
      <c r="AO60" t="str">
        <f t="shared" si="5"/>
        <v>26-40</v>
      </c>
      <c r="BD60">
        <v>6</v>
      </c>
      <c r="BF60" cm="1">
        <f t="array" ref="BF60">CORREL(J60:J1060,S60:S1060)</f>
        <v>-0.0296045773056289</v>
      </c>
      <c r="BH60">
        <v>10</v>
      </c>
      <c r="BI60">
        <f t="shared" si="1"/>
        <v>0.6</v>
      </c>
      <c r="BJ60">
        <f t="shared" si="2"/>
        <v>16.6666666666667</v>
      </c>
    </row>
    <row r="61" spans="1:62">
      <c r="A61" s="1">
        <v>394993854</v>
      </c>
      <c r="B61">
        <v>25</v>
      </c>
      <c r="C61" t="s">
        <v>59</v>
      </c>
      <c r="D61" t="s">
        <v>60</v>
      </c>
      <c r="E61" t="s">
        <v>61</v>
      </c>
      <c r="F61" t="s">
        <v>62</v>
      </c>
      <c r="G61" t="s">
        <v>60</v>
      </c>
      <c r="H61" t="s">
        <v>186</v>
      </c>
      <c r="I61" t="s">
        <v>124</v>
      </c>
      <c r="J61" s="2">
        <v>166</v>
      </c>
      <c r="K61">
        <v>10</v>
      </c>
      <c r="L61" t="s">
        <v>85</v>
      </c>
      <c r="M61">
        <v>5</v>
      </c>
      <c r="N61">
        <v>3</v>
      </c>
      <c r="O61">
        <v>0</v>
      </c>
      <c r="P61" t="s">
        <v>74</v>
      </c>
      <c r="Q61" t="s">
        <v>80</v>
      </c>
      <c r="R61">
        <v>2</v>
      </c>
      <c r="S61">
        <v>10</v>
      </c>
      <c r="T61" t="s">
        <v>79</v>
      </c>
      <c r="U61" t="s">
        <v>90</v>
      </c>
      <c r="V61" t="s">
        <v>81</v>
      </c>
      <c r="W61" s="3">
        <v>45454</v>
      </c>
      <c r="X61" t="b">
        <v>0</v>
      </c>
      <c r="Y61" t="b">
        <v>0</v>
      </c>
      <c r="Z61" t="s">
        <v>92</v>
      </c>
      <c r="AA61" t="s">
        <v>97</v>
      </c>
      <c r="AB61">
        <v>5</v>
      </c>
      <c r="AO61" t="str">
        <f t="shared" si="5"/>
        <v>18-25</v>
      </c>
      <c r="BD61">
        <v>10</v>
      </c>
      <c r="BF61" cm="1">
        <f t="array" ref="BF61">CORREL(J61:J1061,S61:S1061)</f>
        <v>-0.0301040728929048</v>
      </c>
      <c r="BH61">
        <v>10</v>
      </c>
      <c r="BI61">
        <f t="shared" si="1"/>
        <v>1</v>
      </c>
      <c r="BJ61">
        <f t="shared" si="2"/>
        <v>10</v>
      </c>
    </row>
    <row r="62" spans="1:62">
      <c r="A62" s="1">
        <v>396365871</v>
      </c>
      <c r="B62">
        <v>38</v>
      </c>
      <c r="C62" t="s">
        <v>73</v>
      </c>
      <c r="D62" t="s">
        <v>74</v>
      </c>
      <c r="E62" t="s">
        <v>103</v>
      </c>
      <c r="F62" t="s">
        <v>62</v>
      </c>
      <c r="G62" t="s">
        <v>74</v>
      </c>
      <c r="H62" t="s">
        <v>187</v>
      </c>
      <c r="I62" t="s">
        <v>135</v>
      </c>
      <c r="J62" s="2">
        <v>362.01</v>
      </c>
      <c r="K62">
        <v>2</v>
      </c>
      <c r="L62" t="s">
        <v>78</v>
      </c>
      <c r="M62">
        <v>2</v>
      </c>
      <c r="N62">
        <v>4</v>
      </c>
      <c r="O62">
        <v>1</v>
      </c>
      <c r="P62" t="s">
        <v>66</v>
      </c>
      <c r="Q62" t="s">
        <v>67</v>
      </c>
      <c r="R62">
        <v>2</v>
      </c>
      <c r="S62">
        <v>1</v>
      </c>
      <c r="T62" t="s">
        <v>79</v>
      </c>
      <c r="U62" t="s">
        <v>68</v>
      </c>
      <c r="V62" t="s">
        <v>91</v>
      </c>
      <c r="W62" s="3">
        <v>45620</v>
      </c>
      <c r="X62" t="b">
        <v>0</v>
      </c>
      <c r="Y62" t="b">
        <v>0</v>
      </c>
      <c r="Z62" t="s">
        <v>92</v>
      </c>
      <c r="AA62" t="s">
        <v>97</v>
      </c>
      <c r="AB62">
        <v>1</v>
      </c>
      <c r="AO62" t="str">
        <f t="shared" si="5"/>
        <v>26-40</v>
      </c>
      <c r="BD62">
        <v>2</v>
      </c>
      <c r="BF62" cm="1">
        <f t="array" ref="BF62">CORREL(J62:J1062,S62:S1062)</f>
        <v>-0.0287290028050374</v>
      </c>
      <c r="BH62">
        <v>1</v>
      </c>
      <c r="BI62">
        <f t="shared" si="1"/>
        <v>2</v>
      </c>
      <c r="BJ62">
        <f t="shared" si="2"/>
        <v>0.5</v>
      </c>
    </row>
    <row r="63" spans="1:62">
      <c r="A63" s="1">
        <v>716672334</v>
      </c>
      <c r="B63">
        <v>33</v>
      </c>
      <c r="C63" t="s">
        <v>188</v>
      </c>
      <c r="D63" t="s">
        <v>74</v>
      </c>
      <c r="E63" t="s">
        <v>61</v>
      </c>
      <c r="F63" t="s">
        <v>62</v>
      </c>
      <c r="G63" t="s">
        <v>60</v>
      </c>
      <c r="H63" t="s">
        <v>189</v>
      </c>
      <c r="I63" t="s">
        <v>178</v>
      </c>
      <c r="J63" s="2">
        <v>348.5</v>
      </c>
      <c r="K63">
        <v>3</v>
      </c>
      <c r="L63" t="s">
        <v>65</v>
      </c>
      <c r="M63">
        <v>2</v>
      </c>
      <c r="N63">
        <v>3</v>
      </c>
      <c r="O63">
        <v>2</v>
      </c>
      <c r="P63" t="s">
        <v>66</v>
      </c>
      <c r="Q63" t="s">
        <v>80</v>
      </c>
      <c r="R63">
        <v>0</v>
      </c>
      <c r="S63">
        <v>6</v>
      </c>
      <c r="T63" t="s">
        <v>79</v>
      </c>
      <c r="U63" t="s">
        <v>90</v>
      </c>
      <c r="V63" t="s">
        <v>91</v>
      </c>
      <c r="W63" s="3">
        <v>45482</v>
      </c>
      <c r="X63" t="b">
        <v>0</v>
      </c>
      <c r="Y63" t="b">
        <v>0</v>
      </c>
      <c r="Z63" t="s">
        <v>102</v>
      </c>
      <c r="AA63" t="s">
        <v>71</v>
      </c>
      <c r="AB63">
        <v>8</v>
      </c>
      <c r="AO63" t="str">
        <f t="shared" si="5"/>
        <v>26-40</v>
      </c>
      <c r="BD63">
        <v>3</v>
      </c>
      <c r="BF63" cm="1">
        <f t="array" ref="BF63">CORREL(J63:J1063,S63:S1063)</f>
        <v>-0.0276762580381455</v>
      </c>
      <c r="BH63">
        <v>6</v>
      </c>
      <c r="BI63">
        <f t="shared" si="1"/>
        <v>0.5</v>
      </c>
      <c r="BJ63">
        <f t="shared" si="2"/>
        <v>12</v>
      </c>
    </row>
    <row r="64" spans="1:62">
      <c r="A64" s="1">
        <v>351929050</v>
      </c>
      <c r="B64">
        <v>32</v>
      </c>
      <c r="C64" t="s">
        <v>59</v>
      </c>
      <c r="D64" t="s">
        <v>60</v>
      </c>
      <c r="E64" t="s">
        <v>61</v>
      </c>
      <c r="F64" t="s">
        <v>62</v>
      </c>
      <c r="G64" t="s">
        <v>74</v>
      </c>
      <c r="H64" t="s">
        <v>190</v>
      </c>
      <c r="I64" t="s">
        <v>120</v>
      </c>
      <c r="J64" s="2">
        <v>395.97</v>
      </c>
      <c r="K64">
        <v>9</v>
      </c>
      <c r="L64" t="s">
        <v>78</v>
      </c>
      <c r="M64">
        <v>1</v>
      </c>
      <c r="N64">
        <v>4</v>
      </c>
      <c r="O64">
        <v>0</v>
      </c>
      <c r="P64" t="s">
        <v>79</v>
      </c>
      <c r="Q64" t="s">
        <v>109</v>
      </c>
      <c r="R64">
        <v>1</v>
      </c>
      <c r="S64">
        <v>6</v>
      </c>
      <c r="T64" t="s">
        <v>84</v>
      </c>
      <c r="U64" t="s">
        <v>68</v>
      </c>
      <c r="V64" t="s">
        <v>91</v>
      </c>
      <c r="W64" s="3">
        <v>45522</v>
      </c>
      <c r="X64" t="b">
        <v>1</v>
      </c>
      <c r="Y64" t="b">
        <v>1</v>
      </c>
      <c r="Z64" t="s">
        <v>82</v>
      </c>
      <c r="AA64" t="s">
        <v>83</v>
      </c>
      <c r="AB64">
        <v>1</v>
      </c>
      <c r="AO64" t="str">
        <f t="shared" si="5"/>
        <v>26-40</v>
      </c>
      <c r="BD64">
        <v>9</v>
      </c>
      <c r="BF64" cm="1">
        <f t="array" ref="BF64">CORREL(J64:J1064,S64:S1064)</f>
        <v>-0.0278038982820673</v>
      </c>
      <c r="BH64">
        <v>6</v>
      </c>
      <c r="BI64">
        <f t="shared" si="1"/>
        <v>1.5</v>
      </c>
      <c r="BJ64">
        <f t="shared" si="2"/>
        <v>4</v>
      </c>
    </row>
    <row r="65" spans="1:62">
      <c r="A65" s="1">
        <v>914400011</v>
      </c>
      <c r="B65">
        <v>50</v>
      </c>
      <c r="C65" t="s">
        <v>59</v>
      </c>
      <c r="D65" t="s">
        <v>60</v>
      </c>
      <c r="E65" t="s">
        <v>98</v>
      </c>
      <c r="F65" t="s">
        <v>75</v>
      </c>
      <c r="G65" t="s">
        <v>60</v>
      </c>
      <c r="H65" t="s">
        <v>191</v>
      </c>
      <c r="I65" t="s">
        <v>113</v>
      </c>
      <c r="J65" s="2">
        <v>474.99</v>
      </c>
      <c r="K65">
        <v>9</v>
      </c>
      <c r="L65" t="s">
        <v>85</v>
      </c>
      <c r="M65">
        <v>2</v>
      </c>
      <c r="N65">
        <v>4</v>
      </c>
      <c r="O65">
        <v>1</v>
      </c>
      <c r="P65" t="s">
        <v>66</v>
      </c>
      <c r="Q65" t="s">
        <v>67</v>
      </c>
      <c r="R65">
        <v>0</v>
      </c>
      <c r="S65">
        <v>8</v>
      </c>
      <c r="T65" t="s">
        <v>74</v>
      </c>
      <c r="U65" t="s">
        <v>105</v>
      </c>
      <c r="V65" t="s">
        <v>69</v>
      </c>
      <c r="W65" s="3">
        <v>45483</v>
      </c>
      <c r="X65" t="b">
        <v>1</v>
      </c>
      <c r="Y65" t="b">
        <v>0</v>
      </c>
      <c r="Z65" t="s">
        <v>102</v>
      </c>
      <c r="AA65" t="s">
        <v>83</v>
      </c>
      <c r="AB65">
        <v>5</v>
      </c>
      <c r="AO65" t="str">
        <f t="shared" si="5"/>
        <v>41-60</v>
      </c>
      <c r="BD65">
        <v>9</v>
      </c>
      <c r="BF65" cm="1">
        <f t="array" ref="BF65">CORREL(J65:J1065,S65:S1065)</f>
        <v>-0.0280191445125836</v>
      </c>
      <c r="BH65">
        <v>8</v>
      </c>
      <c r="BI65">
        <f t="shared" si="1"/>
        <v>1.125</v>
      </c>
      <c r="BJ65">
        <f t="shared" si="2"/>
        <v>7.11111111111111</v>
      </c>
    </row>
    <row r="66" spans="1:62">
      <c r="A66" s="1">
        <v>208304758</v>
      </c>
      <c r="B66">
        <v>35</v>
      </c>
      <c r="C66" t="s">
        <v>59</v>
      </c>
      <c r="D66" t="s">
        <v>60</v>
      </c>
      <c r="E66" t="s">
        <v>98</v>
      </c>
      <c r="F66" t="s">
        <v>75</v>
      </c>
      <c r="G66" t="s">
        <v>60</v>
      </c>
      <c r="H66" t="s">
        <v>192</v>
      </c>
      <c r="I66" t="s">
        <v>118</v>
      </c>
      <c r="J66" s="2">
        <v>286.43</v>
      </c>
      <c r="K66">
        <v>4</v>
      </c>
      <c r="L66" t="s">
        <v>65</v>
      </c>
      <c r="M66">
        <v>1</v>
      </c>
      <c r="N66">
        <v>3</v>
      </c>
      <c r="O66">
        <v>0</v>
      </c>
      <c r="P66" t="s">
        <v>74</v>
      </c>
      <c r="Q66" t="s">
        <v>109</v>
      </c>
      <c r="R66">
        <v>2</v>
      </c>
      <c r="S66">
        <v>3</v>
      </c>
      <c r="T66" t="s">
        <v>66</v>
      </c>
      <c r="U66" t="s">
        <v>105</v>
      </c>
      <c r="V66" t="s">
        <v>110</v>
      </c>
      <c r="W66" s="3">
        <v>45485</v>
      </c>
      <c r="X66" t="b">
        <v>1</v>
      </c>
      <c r="Y66" t="b">
        <v>0</v>
      </c>
      <c r="Z66" t="s">
        <v>82</v>
      </c>
      <c r="AA66" t="s">
        <v>97</v>
      </c>
      <c r="AB66">
        <v>14</v>
      </c>
      <c r="AO66" t="str">
        <f t="shared" si="5"/>
        <v>26-40</v>
      </c>
      <c r="BD66">
        <v>4</v>
      </c>
      <c r="BF66" cm="1">
        <f t="array" ref="BF66">CORREL(J66:J1066,S66:S1066)</f>
        <v>-0.0295492668481846</v>
      </c>
      <c r="BH66">
        <v>3</v>
      </c>
      <c r="BI66">
        <f t="shared" si="1"/>
        <v>1.33333333333333</v>
      </c>
      <c r="BJ66">
        <f t="shared" si="2"/>
        <v>2.25</v>
      </c>
    </row>
    <row r="67" spans="1:62">
      <c r="A67" s="1">
        <v>843371016</v>
      </c>
      <c r="B67">
        <v>19</v>
      </c>
      <c r="C67" t="s">
        <v>150</v>
      </c>
      <c r="D67" t="s">
        <v>74</v>
      </c>
      <c r="E67" t="s">
        <v>98</v>
      </c>
      <c r="F67" t="s">
        <v>75</v>
      </c>
      <c r="G67" t="s">
        <v>74</v>
      </c>
      <c r="H67" t="s">
        <v>193</v>
      </c>
      <c r="I67" t="s">
        <v>122</v>
      </c>
      <c r="J67" s="2">
        <v>333.32</v>
      </c>
      <c r="K67">
        <v>8</v>
      </c>
      <c r="L67" t="s">
        <v>85</v>
      </c>
      <c r="M67">
        <v>1</v>
      </c>
      <c r="N67">
        <v>5</v>
      </c>
      <c r="O67">
        <v>0</v>
      </c>
      <c r="P67" t="s">
        <v>84</v>
      </c>
      <c r="Q67" t="s">
        <v>109</v>
      </c>
      <c r="R67">
        <v>0</v>
      </c>
      <c r="S67">
        <v>3</v>
      </c>
      <c r="T67" t="s">
        <v>74</v>
      </c>
      <c r="U67" t="s">
        <v>90</v>
      </c>
      <c r="V67" t="s">
        <v>69</v>
      </c>
      <c r="W67" s="3">
        <v>45570</v>
      </c>
      <c r="X67" t="b">
        <v>1</v>
      </c>
      <c r="Y67" t="b">
        <v>0</v>
      </c>
      <c r="Z67" t="s">
        <v>102</v>
      </c>
      <c r="AA67" t="s">
        <v>71</v>
      </c>
      <c r="AB67">
        <v>3</v>
      </c>
      <c r="AO67" t="str">
        <f t="shared" si="5"/>
        <v>18-25</v>
      </c>
      <c r="BD67">
        <v>8</v>
      </c>
      <c r="BF67" cm="1">
        <f t="array" ref="BF67">CORREL(J67:J1067,S67:S1067)</f>
        <v>-0.0294792644654921</v>
      </c>
      <c r="BH67">
        <v>3</v>
      </c>
      <c r="BI67">
        <f t="shared" ref="BI67:BI130" si="6">K67/S67</f>
        <v>2.66666666666667</v>
      </c>
      <c r="BJ67">
        <f t="shared" ref="BJ67:BJ130" si="7">BH67/BI67</f>
        <v>1.125</v>
      </c>
    </row>
    <row r="68" spans="1:62">
      <c r="A68" s="4" t="s">
        <v>194</v>
      </c>
      <c r="B68">
        <v>46</v>
      </c>
      <c r="C68" t="s">
        <v>111</v>
      </c>
      <c r="D68" t="s">
        <v>74</v>
      </c>
      <c r="E68" t="s">
        <v>86</v>
      </c>
      <c r="F68" t="s">
        <v>87</v>
      </c>
      <c r="G68" t="s">
        <v>74</v>
      </c>
      <c r="H68" t="s">
        <v>195</v>
      </c>
      <c r="I68" t="s">
        <v>131</v>
      </c>
      <c r="J68" s="2">
        <v>223.47</v>
      </c>
      <c r="K68">
        <v>9</v>
      </c>
      <c r="L68" t="s">
        <v>65</v>
      </c>
      <c r="M68">
        <v>2</v>
      </c>
      <c r="N68">
        <v>1</v>
      </c>
      <c r="O68">
        <v>1</v>
      </c>
      <c r="P68" t="s">
        <v>74</v>
      </c>
      <c r="Q68" t="s">
        <v>67</v>
      </c>
      <c r="R68">
        <v>0</v>
      </c>
      <c r="S68">
        <v>2</v>
      </c>
      <c r="T68" t="s">
        <v>66</v>
      </c>
      <c r="U68" t="s">
        <v>68</v>
      </c>
      <c r="V68" t="s">
        <v>91</v>
      </c>
      <c r="W68" s="3">
        <v>45555</v>
      </c>
      <c r="X68" t="b">
        <v>1</v>
      </c>
      <c r="Y68" t="b">
        <v>1</v>
      </c>
      <c r="Z68" t="s">
        <v>70</v>
      </c>
      <c r="AA68" t="s">
        <v>83</v>
      </c>
      <c r="AB68">
        <v>8</v>
      </c>
      <c r="AO68" t="str">
        <f t="shared" si="5"/>
        <v>41-60</v>
      </c>
      <c r="BD68">
        <v>9</v>
      </c>
      <c r="BF68" cm="1">
        <f t="array" ref="BF68">CORREL(J68:J1068,S68:S1068)</f>
        <v>-0.0290869233390704</v>
      </c>
      <c r="BH68">
        <v>2</v>
      </c>
      <c r="BI68">
        <f t="shared" si="6"/>
        <v>4.5</v>
      </c>
      <c r="BJ68">
        <f t="shared" si="7"/>
        <v>0.444444444444444</v>
      </c>
    </row>
    <row r="69" spans="1:62">
      <c r="A69" s="1">
        <v>750833608</v>
      </c>
      <c r="B69">
        <v>23</v>
      </c>
      <c r="C69" t="s">
        <v>73</v>
      </c>
      <c r="D69" t="s">
        <v>60</v>
      </c>
      <c r="E69" t="s">
        <v>103</v>
      </c>
      <c r="F69" t="s">
        <v>87</v>
      </c>
      <c r="G69" t="s">
        <v>60</v>
      </c>
      <c r="H69" t="s">
        <v>196</v>
      </c>
      <c r="I69" t="s">
        <v>113</v>
      </c>
      <c r="J69" s="2">
        <v>414.83</v>
      </c>
      <c r="K69">
        <v>2</v>
      </c>
      <c r="L69" t="s">
        <v>65</v>
      </c>
      <c r="M69">
        <v>2</v>
      </c>
      <c r="N69">
        <v>4</v>
      </c>
      <c r="O69">
        <v>0.5</v>
      </c>
      <c r="P69" t="s">
        <v>74</v>
      </c>
      <c r="Q69" t="s">
        <v>67</v>
      </c>
      <c r="R69">
        <v>2</v>
      </c>
      <c r="S69">
        <v>4</v>
      </c>
      <c r="T69" t="s">
        <v>74</v>
      </c>
      <c r="U69" t="s">
        <v>105</v>
      </c>
      <c r="V69" t="s">
        <v>69</v>
      </c>
      <c r="W69" s="3">
        <v>45489</v>
      </c>
      <c r="X69" t="b">
        <v>0</v>
      </c>
      <c r="Y69" t="b">
        <v>0</v>
      </c>
      <c r="Z69" t="s">
        <v>102</v>
      </c>
      <c r="AA69" t="s">
        <v>97</v>
      </c>
      <c r="AB69">
        <v>8</v>
      </c>
      <c r="AO69" t="str">
        <f t="shared" si="5"/>
        <v>18-25</v>
      </c>
      <c r="BD69">
        <v>2</v>
      </c>
      <c r="BF69" cm="1">
        <f t="array" ref="BF69">CORREL(J69:J1069,S69:S1069)</f>
        <v>-0.029613771391469</v>
      </c>
      <c r="BH69">
        <v>4</v>
      </c>
      <c r="BI69">
        <f t="shared" si="6"/>
        <v>0.5</v>
      </c>
      <c r="BJ69">
        <f t="shared" si="7"/>
        <v>8</v>
      </c>
    </row>
    <row r="70" spans="1:62">
      <c r="A70" s="1">
        <v>297797209</v>
      </c>
      <c r="B70">
        <v>34</v>
      </c>
      <c r="C70" t="s">
        <v>59</v>
      </c>
      <c r="D70" t="s">
        <v>74</v>
      </c>
      <c r="E70" t="s">
        <v>98</v>
      </c>
      <c r="F70" t="s">
        <v>87</v>
      </c>
      <c r="G70" t="s">
        <v>74</v>
      </c>
      <c r="H70" t="s">
        <v>197</v>
      </c>
      <c r="I70" t="s">
        <v>107</v>
      </c>
      <c r="J70" s="2">
        <v>391.38</v>
      </c>
      <c r="K70">
        <v>5</v>
      </c>
      <c r="L70" t="s">
        <v>78</v>
      </c>
      <c r="M70">
        <v>5</v>
      </c>
      <c r="N70">
        <v>2</v>
      </c>
      <c r="O70">
        <v>2</v>
      </c>
      <c r="P70" t="s">
        <v>84</v>
      </c>
      <c r="Q70" t="s">
        <v>80</v>
      </c>
      <c r="R70">
        <v>0</v>
      </c>
      <c r="S70">
        <v>7</v>
      </c>
      <c r="T70" t="s">
        <v>84</v>
      </c>
      <c r="U70" t="s">
        <v>68</v>
      </c>
      <c r="V70" t="s">
        <v>96</v>
      </c>
      <c r="W70" s="3">
        <v>45384</v>
      </c>
      <c r="X70" t="b">
        <v>0</v>
      </c>
      <c r="Y70" t="b">
        <v>0</v>
      </c>
      <c r="Z70" t="s">
        <v>70</v>
      </c>
      <c r="AA70" t="s">
        <v>71</v>
      </c>
      <c r="AB70">
        <v>8</v>
      </c>
      <c r="AO70" t="str">
        <f t="shared" ref="AO70:AO91" si="8">IF(B70&lt;=25,"18-25",IF(B70&lt;=40,"26-40",IF(B70&lt;=60,"41-60","Above60")))</f>
        <v>26-40</v>
      </c>
      <c r="BD70">
        <v>5</v>
      </c>
      <c r="BF70" cm="1">
        <f t="array" ref="BF70">CORREL(J70:J1070,S70:S1070)</f>
        <v>-0.0290627094642698</v>
      </c>
      <c r="BH70">
        <v>7</v>
      </c>
      <c r="BI70">
        <f t="shared" si="6"/>
        <v>0.714285714285714</v>
      </c>
      <c r="BJ70">
        <f t="shared" si="7"/>
        <v>9.8</v>
      </c>
    </row>
    <row r="71" spans="1:62">
      <c r="A71" s="1">
        <v>124095166</v>
      </c>
      <c r="B71">
        <v>48</v>
      </c>
      <c r="C71" t="s">
        <v>73</v>
      </c>
      <c r="D71" t="s">
        <v>60</v>
      </c>
      <c r="E71" t="s">
        <v>103</v>
      </c>
      <c r="F71" t="s">
        <v>62</v>
      </c>
      <c r="G71" t="s">
        <v>74</v>
      </c>
      <c r="H71" t="s">
        <v>198</v>
      </c>
      <c r="I71" t="s">
        <v>100</v>
      </c>
      <c r="J71" s="2">
        <v>368.4</v>
      </c>
      <c r="K71">
        <v>11</v>
      </c>
      <c r="L71" t="s">
        <v>85</v>
      </c>
      <c r="M71">
        <v>2</v>
      </c>
      <c r="N71">
        <v>5</v>
      </c>
      <c r="O71">
        <v>1</v>
      </c>
      <c r="P71" t="s">
        <v>74</v>
      </c>
      <c r="Q71" t="s">
        <v>80</v>
      </c>
      <c r="R71">
        <v>0</v>
      </c>
      <c r="S71">
        <v>3</v>
      </c>
      <c r="T71" t="s">
        <v>74</v>
      </c>
      <c r="U71" t="s">
        <v>105</v>
      </c>
      <c r="V71" t="s">
        <v>69</v>
      </c>
      <c r="W71" s="3">
        <v>45464</v>
      </c>
      <c r="X71" t="b">
        <v>0</v>
      </c>
      <c r="Y71" t="b">
        <v>0</v>
      </c>
      <c r="Z71" t="s">
        <v>70</v>
      </c>
      <c r="AA71" t="s">
        <v>71</v>
      </c>
      <c r="AB71">
        <v>13</v>
      </c>
      <c r="AO71" t="str">
        <f t="shared" si="8"/>
        <v>41-60</v>
      </c>
      <c r="BD71">
        <v>11</v>
      </c>
      <c r="BF71" cm="1">
        <f t="array" ref="BF71">CORREL(J71:J1071,S71:S1071)</f>
        <v>-0.0296098864352714</v>
      </c>
      <c r="BH71">
        <v>3</v>
      </c>
      <c r="BI71">
        <f t="shared" si="6"/>
        <v>3.66666666666667</v>
      </c>
      <c r="BJ71">
        <f t="shared" si="7"/>
        <v>0.818181818181818</v>
      </c>
    </row>
    <row r="72" spans="1:62">
      <c r="A72" s="4" t="s">
        <v>199</v>
      </c>
      <c r="B72">
        <v>27</v>
      </c>
      <c r="C72" t="s">
        <v>111</v>
      </c>
      <c r="D72" t="s">
        <v>60</v>
      </c>
      <c r="E72" t="s">
        <v>98</v>
      </c>
      <c r="F72" t="s">
        <v>75</v>
      </c>
      <c r="G72" t="s">
        <v>60</v>
      </c>
      <c r="H72" t="s">
        <v>200</v>
      </c>
      <c r="I72" t="s">
        <v>100</v>
      </c>
      <c r="J72" s="2">
        <v>328.36</v>
      </c>
      <c r="K72">
        <v>11</v>
      </c>
      <c r="L72" t="s">
        <v>78</v>
      </c>
      <c r="M72">
        <v>1</v>
      </c>
      <c r="N72">
        <v>4</v>
      </c>
      <c r="O72">
        <v>2</v>
      </c>
      <c r="P72" t="s">
        <v>74</v>
      </c>
      <c r="Q72" t="s">
        <v>109</v>
      </c>
      <c r="R72">
        <v>0</v>
      </c>
      <c r="S72">
        <v>4</v>
      </c>
      <c r="T72" t="s">
        <v>66</v>
      </c>
      <c r="U72" t="s">
        <v>68</v>
      </c>
      <c r="V72" t="s">
        <v>110</v>
      </c>
      <c r="W72" s="3">
        <v>45362</v>
      </c>
      <c r="X72" t="b">
        <v>0</v>
      </c>
      <c r="Y72" t="b">
        <v>1</v>
      </c>
      <c r="Z72" t="s">
        <v>82</v>
      </c>
      <c r="AA72" t="s">
        <v>97</v>
      </c>
      <c r="AB72">
        <v>4</v>
      </c>
      <c r="AO72" t="str">
        <f t="shared" si="8"/>
        <v>26-40</v>
      </c>
      <c r="BD72">
        <v>11</v>
      </c>
      <c r="BF72" cm="1">
        <f t="array" ref="BF72">CORREL(J72:J1072,S72:S1072)</f>
        <v>-0.028973961288678</v>
      </c>
      <c r="BH72">
        <v>4</v>
      </c>
      <c r="BI72">
        <f t="shared" si="6"/>
        <v>2.75</v>
      </c>
      <c r="BJ72">
        <f t="shared" si="7"/>
        <v>1.45454545454545</v>
      </c>
    </row>
    <row r="73" spans="1:62">
      <c r="A73" s="1">
        <v>744785950</v>
      </c>
      <c r="B73">
        <v>37</v>
      </c>
      <c r="C73" t="s">
        <v>59</v>
      </c>
      <c r="D73" t="s">
        <v>60</v>
      </c>
      <c r="E73" t="s">
        <v>103</v>
      </c>
      <c r="F73" t="s">
        <v>62</v>
      </c>
      <c r="G73" t="s">
        <v>60</v>
      </c>
      <c r="H73" t="s">
        <v>201</v>
      </c>
      <c r="I73" t="s">
        <v>95</v>
      </c>
      <c r="J73" s="2">
        <v>424.39</v>
      </c>
      <c r="K73">
        <v>9</v>
      </c>
      <c r="L73" t="s">
        <v>65</v>
      </c>
      <c r="M73">
        <v>3</v>
      </c>
      <c r="N73">
        <v>1</v>
      </c>
      <c r="O73">
        <v>1</v>
      </c>
      <c r="P73" t="s">
        <v>74</v>
      </c>
      <c r="Q73" t="s">
        <v>67</v>
      </c>
      <c r="R73">
        <v>0</v>
      </c>
      <c r="S73">
        <v>7</v>
      </c>
      <c r="T73" t="s">
        <v>84</v>
      </c>
      <c r="U73" t="s">
        <v>90</v>
      </c>
      <c r="V73" t="s">
        <v>69</v>
      </c>
      <c r="W73" s="3">
        <v>45348</v>
      </c>
      <c r="X73" t="b">
        <v>1</v>
      </c>
      <c r="Y73" t="b">
        <v>0</v>
      </c>
      <c r="Z73" t="s">
        <v>82</v>
      </c>
      <c r="AA73" t="s">
        <v>71</v>
      </c>
      <c r="AB73">
        <v>13</v>
      </c>
      <c r="AO73" t="str">
        <f t="shared" si="8"/>
        <v>26-40</v>
      </c>
      <c r="BD73">
        <v>9</v>
      </c>
      <c r="BF73" cm="1">
        <f t="array" ref="BF73">CORREL(J73:J1073,S73:S1073)</f>
        <v>-0.0287586109740244</v>
      </c>
      <c r="BH73">
        <v>7</v>
      </c>
      <c r="BI73">
        <f t="shared" si="6"/>
        <v>1.28571428571429</v>
      </c>
      <c r="BJ73">
        <f t="shared" si="7"/>
        <v>5.44444444444444</v>
      </c>
    </row>
    <row r="74" spans="1:62">
      <c r="A74" s="1">
        <v>313951286</v>
      </c>
      <c r="B74">
        <v>47</v>
      </c>
      <c r="C74" t="s">
        <v>73</v>
      </c>
      <c r="D74" t="s">
        <v>74</v>
      </c>
      <c r="E74" t="s">
        <v>61</v>
      </c>
      <c r="F74" t="s">
        <v>75</v>
      </c>
      <c r="G74" t="s">
        <v>74</v>
      </c>
      <c r="H74" t="s">
        <v>202</v>
      </c>
      <c r="I74" t="s">
        <v>147</v>
      </c>
      <c r="J74" s="2">
        <v>197.12</v>
      </c>
      <c r="K74">
        <v>10</v>
      </c>
      <c r="L74" t="s">
        <v>78</v>
      </c>
      <c r="M74">
        <v>4</v>
      </c>
      <c r="N74">
        <v>4</v>
      </c>
      <c r="O74">
        <v>0</v>
      </c>
      <c r="P74" t="s">
        <v>84</v>
      </c>
      <c r="Q74" t="s">
        <v>67</v>
      </c>
      <c r="R74">
        <v>1</v>
      </c>
      <c r="S74">
        <v>1</v>
      </c>
      <c r="T74" t="s">
        <v>79</v>
      </c>
      <c r="U74" t="s">
        <v>68</v>
      </c>
      <c r="V74" t="s">
        <v>96</v>
      </c>
      <c r="W74" s="3">
        <v>45457</v>
      </c>
      <c r="X74" t="b">
        <v>1</v>
      </c>
      <c r="Y74" t="b">
        <v>1</v>
      </c>
      <c r="Z74" t="s">
        <v>82</v>
      </c>
      <c r="AA74" t="s">
        <v>83</v>
      </c>
      <c r="AB74">
        <v>10</v>
      </c>
      <c r="AO74" t="str">
        <f t="shared" si="8"/>
        <v>41-60</v>
      </c>
      <c r="BD74">
        <v>10</v>
      </c>
      <c r="BF74" cm="1">
        <f t="array" ref="BF74">CORREL(J74:J1074,S74:S1074)</f>
        <v>-0.0294647531323112</v>
      </c>
      <c r="BH74">
        <v>1</v>
      </c>
      <c r="BI74">
        <f t="shared" si="6"/>
        <v>10</v>
      </c>
      <c r="BJ74">
        <f t="shared" si="7"/>
        <v>0.1</v>
      </c>
    </row>
    <row r="75" spans="1:62">
      <c r="A75" s="1">
        <v>608384334</v>
      </c>
      <c r="B75">
        <v>45</v>
      </c>
      <c r="C75" t="s">
        <v>73</v>
      </c>
      <c r="D75" t="s">
        <v>74</v>
      </c>
      <c r="E75" t="s">
        <v>86</v>
      </c>
      <c r="F75" t="s">
        <v>62</v>
      </c>
      <c r="G75" t="s">
        <v>74</v>
      </c>
      <c r="H75" t="s">
        <v>203</v>
      </c>
      <c r="I75" t="s">
        <v>107</v>
      </c>
      <c r="J75" s="2">
        <v>454.57</v>
      </c>
      <c r="K75">
        <v>9</v>
      </c>
      <c r="L75" t="s">
        <v>65</v>
      </c>
      <c r="M75">
        <v>2</v>
      </c>
      <c r="N75">
        <v>5</v>
      </c>
      <c r="O75">
        <v>1</v>
      </c>
      <c r="P75" t="s">
        <v>84</v>
      </c>
      <c r="Q75" t="s">
        <v>67</v>
      </c>
      <c r="R75">
        <v>0</v>
      </c>
      <c r="S75">
        <v>1</v>
      </c>
      <c r="T75" t="s">
        <v>79</v>
      </c>
      <c r="U75" t="s">
        <v>90</v>
      </c>
      <c r="V75" t="s">
        <v>91</v>
      </c>
      <c r="W75" s="3">
        <v>45375</v>
      </c>
      <c r="X75" t="b">
        <v>1</v>
      </c>
      <c r="Y75" t="b">
        <v>1</v>
      </c>
      <c r="Z75" t="s">
        <v>82</v>
      </c>
      <c r="AA75" t="s">
        <v>97</v>
      </c>
      <c r="AB75">
        <v>1</v>
      </c>
      <c r="AO75" t="str">
        <f t="shared" si="8"/>
        <v>41-60</v>
      </c>
      <c r="BD75">
        <v>9</v>
      </c>
      <c r="BF75" cm="1">
        <f t="array" ref="BF75">CORREL(J75:J1075,S75:S1075)</f>
        <v>-0.0304907638446005</v>
      </c>
      <c r="BH75">
        <v>1</v>
      </c>
      <c r="BI75">
        <f t="shared" si="6"/>
        <v>9</v>
      </c>
      <c r="BJ75">
        <f t="shared" si="7"/>
        <v>0.111111111111111</v>
      </c>
    </row>
    <row r="76" spans="1:62">
      <c r="A76" s="1">
        <v>711978227</v>
      </c>
      <c r="B76">
        <v>37</v>
      </c>
      <c r="C76" t="s">
        <v>73</v>
      </c>
      <c r="D76" t="s">
        <v>60</v>
      </c>
      <c r="E76" t="s">
        <v>103</v>
      </c>
      <c r="F76" t="s">
        <v>75</v>
      </c>
      <c r="G76" t="s">
        <v>74</v>
      </c>
      <c r="H76" t="s">
        <v>204</v>
      </c>
      <c r="I76" t="s">
        <v>131</v>
      </c>
      <c r="J76" s="2">
        <v>298.38</v>
      </c>
      <c r="K76">
        <v>4</v>
      </c>
      <c r="L76" t="s">
        <v>65</v>
      </c>
      <c r="M76">
        <v>3</v>
      </c>
      <c r="N76">
        <v>4</v>
      </c>
      <c r="O76">
        <v>2</v>
      </c>
      <c r="P76" t="s">
        <v>74</v>
      </c>
      <c r="Q76" t="s">
        <v>109</v>
      </c>
      <c r="R76">
        <v>0</v>
      </c>
      <c r="S76">
        <v>2</v>
      </c>
      <c r="T76" t="s">
        <v>84</v>
      </c>
      <c r="U76" t="s">
        <v>68</v>
      </c>
      <c r="V76" t="s">
        <v>110</v>
      </c>
      <c r="W76" s="3">
        <v>45409</v>
      </c>
      <c r="X76" t="b">
        <v>0</v>
      </c>
      <c r="Y76" t="b">
        <v>1</v>
      </c>
      <c r="Z76" t="s">
        <v>70</v>
      </c>
      <c r="AA76" t="s">
        <v>83</v>
      </c>
      <c r="AB76">
        <v>3</v>
      </c>
      <c r="AO76" t="str">
        <f t="shared" si="8"/>
        <v>26-40</v>
      </c>
      <c r="BD76">
        <v>4</v>
      </c>
      <c r="BF76" cm="1">
        <f t="array" ref="BF76">CORREL(J76:J1076,S76:S1076)</f>
        <v>-0.0282498202276797</v>
      </c>
      <c r="BH76">
        <v>2</v>
      </c>
      <c r="BI76">
        <f t="shared" si="6"/>
        <v>2</v>
      </c>
      <c r="BJ76">
        <f t="shared" si="7"/>
        <v>1</v>
      </c>
    </row>
    <row r="77" spans="1:62">
      <c r="A77" s="1">
        <v>155303861</v>
      </c>
      <c r="B77">
        <v>36</v>
      </c>
      <c r="C77" t="s">
        <v>73</v>
      </c>
      <c r="D77" t="s">
        <v>74</v>
      </c>
      <c r="E77" t="s">
        <v>103</v>
      </c>
      <c r="F77" t="s">
        <v>75</v>
      </c>
      <c r="G77" t="s">
        <v>74</v>
      </c>
      <c r="H77" t="s">
        <v>205</v>
      </c>
      <c r="I77" t="s">
        <v>171</v>
      </c>
      <c r="J77" s="2">
        <v>111.7</v>
      </c>
      <c r="K77">
        <v>6</v>
      </c>
      <c r="L77" t="s">
        <v>85</v>
      </c>
      <c r="M77">
        <v>4</v>
      </c>
      <c r="N77">
        <v>5</v>
      </c>
      <c r="O77">
        <v>0</v>
      </c>
      <c r="P77" t="s">
        <v>79</v>
      </c>
      <c r="Q77" t="s">
        <v>67</v>
      </c>
      <c r="R77">
        <v>2</v>
      </c>
      <c r="S77">
        <v>5</v>
      </c>
      <c r="T77" t="s">
        <v>74</v>
      </c>
      <c r="U77" t="s">
        <v>68</v>
      </c>
      <c r="V77" t="s">
        <v>69</v>
      </c>
      <c r="W77" s="3">
        <v>45603</v>
      </c>
      <c r="X77" t="b">
        <v>0</v>
      </c>
      <c r="Y77" t="b">
        <v>0</v>
      </c>
      <c r="Z77" t="s">
        <v>102</v>
      </c>
      <c r="AA77" t="s">
        <v>83</v>
      </c>
      <c r="AB77">
        <v>7</v>
      </c>
      <c r="AO77" t="str">
        <f t="shared" si="8"/>
        <v>26-40</v>
      </c>
      <c r="BD77">
        <v>6</v>
      </c>
      <c r="BF77" cm="1">
        <f t="array" ref="BF77">CORREL(J77:J1077,S77:S1077)</f>
        <v>-0.028029499509684</v>
      </c>
      <c r="BH77">
        <v>5</v>
      </c>
      <c r="BI77">
        <f t="shared" si="6"/>
        <v>1.2</v>
      </c>
      <c r="BJ77">
        <f t="shared" si="7"/>
        <v>4.16666666666667</v>
      </c>
    </row>
    <row r="78" spans="1:62">
      <c r="A78" s="1">
        <v>305674471</v>
      </c>
      <c r="B78">
        <v>34</v>
      </c>
      <c r="C78" t="s">
        <v>73</v>
      </c>
      <c r="D78" t="s">
        <v>60</v>
      </c>
      <c r="E78" t="s">
        <v>61</v>
      </c>
      <c r="F78" t="s">
        <v>62</v>
      </c>
      <c r="G78" t="s">
        <v>60</v>
      </c>
      <c r="H78" t="s">
        <v>206</v>
      </c>
      <c r="I78" t="s">
        <v>171</v>
      </c>
      <c r="J78" s="2">
        <v>373.69</v>
      </c>
      <c r="K78">
        <v>10</v>
      </c>
      <c r="L78" t="s">
        <v>85</v>
      </c>
      <c r="M78">
        <v>3</v>
      </c>
      <c r="N78">
        <v>2</v>
      </c>
      <c r="O78">
        <v>2</v>
      </c>
      <c r="P78" t="s">
        <v>79</v>
      </c>
      <c r="Q78" t="s">
        <v>80</v>
      </c>
      <c r="R78">
        <v>1</v>
      </c>
      <c r="S78">
        <v>8</v>
      </c>
      <c r="T78" t="s">
        <v>66</v>
      </c>
      <c r="U78" t="s">
        <v>68</v>
      </c>
      <c r="V78" t="s">
        <v>69</v>
      </c>
      <c r="W78" s="3">
        <v>45630</v>
      </c>
      <c r="X78" t="b">
        <v>0</v>
      </c>
      <c r="Y78" t="b">
        <v>1</v>
      </c>
      <c r="Z78" t="s">
        <v>92</v>
      </c>
      <c r="AA78" t="s">
        <v>97</v>
      </c>
      <c r="AB78">
        <v>14</v>
      </c>
      <c r="AO78" t="str">
        <f t="shared" si="8"/>
        <v>26-40</v>
      </c>
      <c r="BD78">
        <v>10</v>
      </c>
      <c r="BF78" cm="1">
        <f t="array" ref="BF78">CORREL(J78:J1078,S78:S1078)</f>
        <v>-0.0282588643664492</v>
      </c>
      <c r="BH78">
        <v>8</v>
      </c>
      <c r="BI78">
        <f t="shared" si="6"/>
        <v>1.25</v>
      </c>
      <c r="BJ78">
        <f t="shared" si="7"/>
        <v>6.4</v>
      </c>
    </row>
    <row r="79" spans="1:62">
      <c r="A79" s="4" t="s">
        <v>207</v>
      </c>
      <c r="B79">
        <v>37</v>
      </c>
      <c r="C79" t="s">
        <v>73</v>
      </c>
      <c r="D79" t="s">
        <v>74</v>
      </c>
      <c r="E79" t="s">
        <v>98</v>
      </c>
      <c r="F79" t="s">
        <v>87</v>
      </c>
      <c r="G79" t="s">
        <v>60</v>
      </c>
      <c r="H79" t="s">
        <v>208</v>
      </c>
      <c r="I79" t="s">
        <v>209</v>
      </c>
      <c r="J79" s="2">
        <v>354.87</v>
      </c>
      <c r="K79">
        <v>5</v>
      </c>
      <c r="L79" t="s">
        <v>78</v>
      </c>
      <c r="M79">
        <v>1</v>
      </c>
      <c r="N79">
        <v>1</v>
      </c>
      <c r="O79">
        <v>0</v>
      </c>
      <c r="P79" t="s">
        <v>66</v>
      </c>
      <c r="Q79" t="s">
        <v>80</v>
      </c>
      <c r="R79">
        <v>2</v>
      </c>
      <c r="S79">
        <v>4</v>
      </c>
      <c r="T79" t="s">
        <v>66</v>
      </c>
      <c r="U79" t="s">
        <v>105</v>
      </c>
      <c r="V79" t="s">
        <v>110</v>
      </c>
      <c r="W79" s="3">
        <v>45400</v>
      </c>
      <c r="X79" t="b">
        <v>0</v>
      </c>
      <c r="Y79" t="b">
        <v>1</v>
      </c>
      <c r="Z79" t="s">
        <v>102</v>
      </c>
      <c r="AA79" t="s">
        <v>97</v>
      </c>
      <c r="AB79">
        <v>12</v>
      </c>
      <c r="AO79" t="str">
        <f t="shared" si="8"/>
        <v>26-40</v>
      </c>
      <c r="BD79">
        <v>5</v>
      </c>
      <c r="BF79" cm="1">
        <f t="array" ref="BF79">CORREL(J79:J1079,S79:S1079)</f>
        <v>-0.0290199470870246</v>
      </c>
      <c r="BH79">
        <v>4</v>
      </c>
      <c r="BI79">
        <f t="shared" si="6"/>
        <v>1.25</v>
      </c>
      <c r="BJ79">
        <f t="shared" si="7"/>
        <v>3.2</v>
      </c>
    </row>
    <row r="80" spans="1:62">
      <c r="A80" s="1">
        <v>696920614</v>
      </c>
      <c r="B80">
        <v>18</v>
      </c>
      <c r="C80" t="s">
        <v>59</v>
      </c>
      <c r="D80" t="s">
        <v>60</v>
      </c>
      <c r="E80" t="s">
        <v>98</v>
      </c>
      <c r="F80" t="s">
        <v>62</v>
      </c>
      <c r="G80" t="s">
        <v>74</v>
      </c>
      <c r="H80" t="s">
        <v>210</v>
      </c>
      <c r="I80" t="s">
        <v>115</v>
      </c>
      <c r="J80" s="2">
        <v>214.48</v>
      </c>
      <c r="K80">
        <v>2</v>
      </c>
      <c r="L80" t="s">
        <v>85</v>
      </c>
      <c r="M80">
        <v>4</v>
      </c>
      <c r="N80">
        <v>2</v>
      </c>
      <c r="O80">
        <v>2</v>
      </c>
      <c r="P80" t="s">
        <v>66</v>
      </c>
      <c r="Q80" t="s">
        <v>109</v>
      </c>
      <c r="R80">
        <v>1</v>
      </c>
      <c r="S80">
        <v>3</v>
      </c>
      <c r="T80" t="s">
        <v>66</v>
      </c>
      <c r="U80" t="s">
        <v>68</v>
      </c>
      <c r="V80" t="s">
        <v>110</v>
      </c>
      <c r="W80" s="3">
        <v>45403</v>
      </c>
      <c r="X80" t="b">
        <v>1</v>
      </c>
      <c r="Y80" t="b">
        <v>1</v>
      </c>
      <c r="Z80" t="s">
        <v>82</v>
      </c>
      <c r="AA80" t="s">
        <v>97</v>
      </c>
      <c r="AB80">
        <v>2</v>
      </c>
      <c r="AO80" t="str">
        <f t="shared" si="8"/>
        <v>18-25</v>
      </c>
      <c r="BD80">
        <v>2</v>
      </c>
      <c r="BF80" cm="1">
        <f t="array" ref="BF80">CORREL(J80:J1080,S80:S1080)</f>
        <v>-0.0286930802149538</v>
      </c>
      <c r="BH80">
        <v>3</v>
      </c>
      <c r="BI80">
        <f t="shared" si="6"/>
        <v>0.666666666666667</v>
      </c>
      <c r="BJ80">
        <f t="shared" si="7"/>
        <v>4.5</v>
      </c>
    </row>
    <row r="81" spans="1:62">
      <c r="A81" s="1">
        <v>128398066</v>
      </c>
      <c r="B81">
        <v>20</v>
      </c>
      <c r="C81" t="s">
        <v>73</v>
      </c>
      <c r="D81" t="s">
        <v>74</v>
      </c>
      <c r="E81" t="s">
        <v>103</v>
      </c>
      <c r="F81" t="s">
        <v>62</v>
      </c>
      <c r="G81" t="s">
        <v>60</v>
      </c>
      <c r="H81" t="s">
        <v>211</v>
      </c>
      <c r="I81" t="s">
        <v>133</v>
      </c>
      <c r="J81" s="2">
        <v>399.58</v>
      </c>
      <c r="K81">
        <v>6</v>
      </c>
      <c r="L81" t="s">
        <v>78</v>
      </c>
      <c r="M81">
        <v>3</v>
      </c>
      <c r="N81">
        <v>4</v>
      </c>
      <c r="O81">
        <v>0</v>
      </c>
      <c r="P81" t="s">
        <v>66</v>
      </c>
      <c r="Q81" t="s">
        <v>109</v>
      </c>
      <c r="R81">
        <v>1</v>
      </c>
      <c r="S81">
        <v>8</v>
      </c>
      <c r="T81" t="s">
        <v>84</v>
      </c>
      <c r="U81" t="s">
        <v>68</v>
      </c>
      <c r="V81" t="s">
        <v>96</v>
      </c>
      <c r="W81" s="3">
        <v>45560</v>
      </c>
      <c r="X81" t="b">
        <v>1</v>
      </c>
      <c r="Y81" t="b">
        <v>0</v>
      </c>
      <c r="Z81" t="s">
        <v>70</v>
      </c>
      <c r="AA81" t="s">
        <v>83</v>
      </c>
      <c r="AB81">
        <v>7</v>
      </c>
      <c r="AO81" t="str">
        <f t="shared" si="8"/>
        <v>18-25</v>
      </c>
      <c r="BD81">
        <v>6</v>
      </c>
      <c r="BF81" cm="1">
        <f t="array" ref="BF81">CORREL(J81:J1081,S81:S1081)</f>
        <v>-0.0291278266357622</v>
      </c>
      <c r="BH81">
        <v>8</v>
      </c>
      <c r="BI81">
        <f t="shared" si="6"/>
        <v>0.75</v>
      </c>
      <c r="BJ81">
        <f t="shared" si="7"/>
        <v>10.6666666666667</v>
      </c>
    </row>
    <row r="82" spans="1:62">
      <c r="A82" s="4" t="s">
        <v>212</v>
      </c>
      <c r="B82">
        <v>27</v>
      </c>
      <c r="C82" t="s">
        <v>59</v>
      </c>
      <c r="D82" t="s">
        <v>74</v>
      </c>
      <c r="E82" t="s">
        <v>98</v>
      </c>
      <c r="F82" t="s">
        <v>75</v>
      </c>
      <c r="G82" t="s">
        <v>60</v>
      </c>
      <c r="H82" t="s">
        <v>213</v>
      </c>
      <c r="I82" t="s">
        <v>118</v>
      </c>
      <c r="J82" s="2">
        <v>380.99</v>
      </c>
      <c r="K82">
        <v>7</v>
      </c>
      <c r="L82" t="s">
        <v>65</v>
      </c>
      <c r="M82">
        <v>1</v>
      </c>
      <c r="N82">
        <v>2</v>
      </c>
      <c r="O82">
        <v>1</v>
      </c>
      <c r="P82" t="s">
        <v>84</v>
      </c>
      <c r="Q82" t="s">
        <v>67</v>
      </c>
      <c r="R82">
        <v>0</v>
      </c>
      <c r="S82">
        <v>1</v>
      </c>
      <c r="T82" t="s">
        <v>79</v>
      </c>
      <c r="U82" t="s">
        <v>105</v>
      </c>
      <c r="V82" t="s">
        <v>110</v>
      </c>
      <c r="W82" s="3">
        <v>45635</v>
      </c>
      <c r="X82" t="b">
        <v>1</v>
      </c>
      <c r="Y82" t="b">
        <v>1</v>
      </c>
      <c r="Z82" t="s">
        <v>70</v>
      </c>
      <c r="AA82" t="s">
        <v>71</v>
      </c>
      <c r="AB82">
        <v>8</v>
      </c>
      <c r="AO82" t="str">
        <f t="shared" si="8"/>
        <v>26-40</v>
      </c>
      <c r="BD82">
        <v>7</v>
      </c>
      <c r="BF82" cm="1">
        <f t="array" ref="BF82">CORREL(J82:J1082,S82:S1082)</f>
        <v>-0.0300894147602415</v>
      </c>
      <c r="BH82">
        <v>1</v>
      </c>
      <c r="BI82">
        <f t="shared" si="6"/>
        <v>7</v>
      </c>
      <c r="BJ82">
        <f t="shared" si="7"/>
        <v>0.142857142857143</v>
      </c>
    </row>
    <row r="83" spans="1:62">
      <c r="A83" s="1">
        <v>815803810</v>
      </c>
      <c r="B83">
        <v>36</v>
      </c>
      <c r="C83" t="s">
        <v>73</v>
      </c>
      <c r="D83" t="s">
        <v>60</v>
      </c>
      <c r="E83" t="s">
        <v>61</v>
      </c>
      <c r="F83" t="s">
        <v>75</v>
      </c>
      <c r="G83" t="s">
        <v>74</v>
      </c>
      <c r="H83" t="s">
        <v>214</v>
      </c>
      <c r="I83" t="s">
        <v>77</v>
      </c>
      <c r="J83" s="2">
        <v>79</v>
      </c>
      <c r="K83">
        <v>10</v>
      </c>
      <c r="L83" t="s">
        <v>85</v>
      </c>
      <c r="M83">
        <v>1</v>
      </c>
      <c r="N83">
        <v>2</v>
      </c>
      <c r="O83">
        <v>1</v>
      </c>
      <c r="P83" t="s">
        <v>79</v>
      </c>
      <c r="Q83" t="s">
        <v>109</v>
      </c>
      <c r="R83">
        <v>2</v>
      </c>
      <c r="S83">
        <v>6</v>
      </c>
      <c r="T83" t="s">
        <v>84</v>
      </c>
      <c r="U83" t="s">
        <v>90</v>
      </c>
      <c r="V83" t="s">
        <v>110</v>
      </c>
      <c r="W83" s="3">
        <v>45549</v>
      </c>
      <c r="X83" t="b">
        <v>0</v>
      </c>
      <c r="Y83" t="b">
        <v>1</v>
      </c>
      <c r="Z83" t="s">
        <v>102</v>
      </c>
      <c r="AA83" t="s">
        <v>83</v>
      </c>
      <c r="AB83">
        <v>7</v>
      </c>
      <c r="AO83" t="str">
        <f t="shared" si="8"/>
        <v>26-40</v>
      </c>
      <c r="BD83">
        <v>10</v>
      </c>
      <c r="BF83" cm="1">
        <f t="array" ref="BF83">CORREL(J83:J1083,S83:S1083)</f>
        <v>-0.0287563380418459</v>
      </c>
      <c r="BH83">
        <v>6</v>
      </c>
      <c r="BI83">
        <f t="shared" si="6"/>
        <v>1.66666666666667</v>
      </c>
      <c r="BJ83">
        <f t="shared" si="7"/>
        <v>3.6</v>
      </c>
    </row>
    <row r="84" spans="1:62">
      <c r="A84" s="1">
        <v>743536312</v>
      </c>
      <c r="B84">
        <v>46</v>
      </c>
      <c r="C84" t="s">
        <v>59</v>
      </c>
      <c r="D84" t="s">
        <v>60</v>
      </c>
      <c r="E84" t="s">
        <v>61</v>
      </c>
      <c r="F84" t="s">
        <v>62</v>
      </c>
      <c r="G84" t="s">
        <v>60</v>
      </c>
      <c r="H84" t="s">
        <v>215</v>
      </c>
      <c r="I84" t="s">
        <v>156</v>
      </c>
      <c r="J84" s="2">
        <v>113.88</v>
      </c>
      <c r="K84">
        <v>2</v>
      </c>
      <c r="L84" t="s">
        <v>85</v>
      </c>
      <c r="M84">
        <v>5</v>
      </c>
      <c r="N84">
        <v>2</v>
      </c>
      <c r="O84">
        <v>2</v>
      </c>
      <c r="P84" t="s">
        <v>79</v>
      </c>
      <c r="Q84" t="s">
        <v>80</v>
      </c>
      <c r="R84">
        <v>2</v>
      </c>
      <c r="S84">
        <v>4</v>
      </c>
      <c r="T84" t="s">
        <v>74</v>
      </c>
      <c r="U84" t="s">
        <v>68</v>
      </c>
      <c r="V84" t="s">
        <v>81</v>
      </c>
      <c r="W84" s="3">
        <v>45380</v>
      </c>
      <c r="X84" t="b">
        <v>0</v>
      </c>
      <c r="Y84" t="b">
        <v>0</v>
      </c>
      <c r="Z84" t="s">
        <v>82</v>
      </c>
      <c r="AA84" t="s">
        <v>97</v>
      </c>
      <c r="AB84">
        <v>9</v>
      </c>
      <c r="AO84" t="str">
        <f t="shared" si="8"/>
        <v>41-60</v>
      </c>
      <c r="BD84">
        <v>2</v>
      </c>
      <c r="BF84" cm="1">
        <f t="array" ref="BF84">CORREL(J84:J1084,S84:S1084)</f>
        <v>-0.0284748182358679</v>
      </c>
      <c r="BH84">
        <v>4</v>
      </c>
      <c r="BI84">
        <f t="shared" si="6"/>
        <v>0.5</v>
      </c>
      <c r="BJ84">
        <f t="shared" si="7"/>
        <v>8</v>
      </c>
    </row>
    <row r="85" spans="1:62">
      <c r="A85" s="1">
        <v>788241887</v>
      </c>
      <c r="B85">
        <v>26</v>
      </c>
      <c r="C85" t="s">
        <v>73</v>
      </c>
      <c r="D85" t="s">
        <v>60</v>
      </c>
      <c r="E85" t="s">
        <v>61</v>
      </c>
      <c r="F85" t="s">
        <v>75</v>
      </c>
      <c r="G85" t="s">
        <v>60</v>
      </c>
      <c r="H85" t="s">
        <v>216</v>
      </c>
      <c r="I85" t="s">
        <v>178</v>
      </c>
      <c r="J85" s="2">
        <v>121.57</v>
      </c>
      <c r="K85">
        <v>4</v>
      </c>
      <c r="L85" t="s">
        <v>65</v>
      </c>
      <c r="M85">
        <v>1</v>
      </c>
      <c r="N85">
        <v>5</v>
      </c>
      <c r="O85">
        <v>0</v>
      </c>
      <c r="P85" t="s">
        <v>74</v>
      </c>
      <c r="Q85" t="s">
        <v>80</v>
      </c>
      <c r="R85">
        <v>0</v>
      </c>
      <c r="S85">
        <v>4</v>
      </c>
      <c r="T85" t="s">
        <v>74</v>
      </c>
      <c r="U85" t="s">
        <v>105</v>
      </c>
      <c r="V85" t="s">
        <v>96</v>
      </c>
      <c r="W85" s="3">
        <v>45449</v>
      </c>
      <c r="X85" t="b">
        <v>0</v>
      </c>
      <c r="Y85" t="b">
        <v>1</v>
      </c>
      <c r="Z85" t="s">
        <v>92</v>
      </c>
      <c r="AA85" t="s">
        <v>71</v>
      </c>
      <c r="AB85">
        <v>13</v>
      </c>
      <c r="AO85" t="str">
        <f t="shared" si="8"/>
        <v>26-40</v>
      </c>
      <c r="BD85">
        <v>4</v>
      </c>
      <c r="BF85" cm="1">
        <f t="array" ref="BF85">CORREL(J85:J1085,S85:S1085)</f>
        <v>-0.0291744546066681</v>
      </c>
      <c r="BH85">
        <v>4</v>
      </c>
      <c r="BI85">
        <f t="shared" si="6"/>
        <v>1</v>
      </c>
      <c r="BJ85">
        <f t="shared" si="7"/>
        <v>4</v>
      </c>
    </row>
    <row r="86" spans="1:62">
      <c r="A86" s="1">
        <v>312180024</v>
      </c>
      <c r="B86">
        <v>21</v>
      </c>
      <c r="C86" t="s">
        <v>59</v>
      </c>
      <c r="D86" t="s">
        <v>74</v>
      </c>
      <c r="E86" t="s">
        <v>103</v>
      </c>
      <c r="F86" t="s">
        <v>75</v>
      </c>
      <c r="G86" t="s">
        <v>60</v>
      </c>
      <c r="H86" t="s">
        <v>217</v>
      </c>
      <c r="I86" t="s">
        <v>147</v>
      </c>
      <c r="J86" s="2">
        <v>215.54</v>
      </c>
      <c r="K86">
        <v>11</v>
      </c>
      <c r="L86" t="s">
        <v>85</v>
      </c>
      <c r="M86">
        <v>3</v>
      </c>
      <c r="N86">
        <v>1</v>
      </c>
      <c r="O86">
        <v>2</v>
      </c>
      <c r="P86" t="s">
        <v>84</v>
      </c>
      <c r="Q86" t="s">
        <v>67</v>
      </c>
      <c r="R86">
        <v>2</v>
      </c>
      <c r="S86">
        <v>6</v>
      </c>
      <c r="T86" t="s">
        <v>74</v>
      </c>
      <c r="U86" t="s">
        <v>105</v>
      </c>
      <c r="V86" t="s">
        <v>69</v>
      </c>
      <c r="W86" s="3">
        <v>45390</v>
      </c>
      <c r="X86" t="b">
        <v>1</v>
      </c>
      <c r="Y86" t="b">
        <v>1</v>
      </c>
      <c r="Z86" t="s">
        <v>102</v>
      </c>
      <c r="AA86" t="s">
        <v>71</v>
      </c>
      <c r="AB86">
        <v>10</v>
      </c>
      <c r="AO86" t="str">
        <f t="shared" si="8"/>
        <v>18-25</v>
      </c>
      <c r="BD86">
        <v>11</v>
      </c>
      <c r="BF86" cm="1">
        <f t="array" ref="BF86">CORREL(J86:J1086,S86:S1086)</f>
        <v>-0.0298423046500878</v>
      </c>
      <c r="BH86">
        <v>6</v>
      </c>
      <c r="BI86">
        <f t="shared" si="6"/>
        <v>1.83333333333333</v>
      </c>
      <c r="BJ86">
        <f t="shared" si="7"/>
        <v>3.27272727272727</v>
      </c>
    </row>
    <row r="87" spans="1:62">
      <c r="A87" s="1">
        <v>157114107</v>
      </c>
      <c r="B87">
        <v>43</v>
      </c>
      <c r="C87" t="s">
        <v>73</v>
      </c>
      <c r="D87" t="s">
        <v>74</v>
      </c>
      <c r="E87" t="s">
        <v>61</v>
      </c>
      <c r="F87" t="s">
        <v>62</v>
      </c>
      <c r="G87" t="s">
        <v>74</v>
      </c>
      <c r="H87" t="s">
        <v>218</v>
      </c>
      <c r="I87" t="s">
        <v>100</v>
      </c>
      <c r="J87" s="2">
        <v>87.03</v>
      </c>
      <c r="K87">
        <v>10</v>
      </c>
      <c r="L87" t="s">
        <v>65</v>
      </c>
      <c r="M87">
        <v>1</v>
      </c>
      <c r="N87">
        <v>1</v>
      </c>
      <c r="O87">
        <v>0</v>
      </c>
      <c r="P87" t="s">
        <v>84</v>
      </c>
      <c r="Q87" t="s">
        <v>109</v>
      </c>
      <c r="R87">
        <v>1</v>
      </c>
      <c r="S87">
        <v>5</v>
      </c>
      <c r="T87" t="s">
        <v>74</v>
      </c>
      <c r="U87" t="s">
        <v>105</v>
      </c>
      <c r="V87" t="s">
        <v>81</v>
      </c>
      <c r="W87" s="3">
        <v>45515</v>
      </c>
      <c r="X87" t="b">
        <v>0</v>
      </c>
      <c r="Y87" t="b">
        <v>1</v>
      </c>
      <c r="Z87" t="s">
        <v>70</v>
      </c>
      <c r="AA87" t="s">
        <v>71</v>
      </c>
      <c r="AB87">
        <v>7</v>
      </c>
      <c r="AO87" t="str">
        <f t="shared" si="8"/>
        <v>41-60</v>
      </c>
      <c r="BD87">
        <v>10</v>
      </c>
      <c r="BF87" cm="1">
        <f t="array" ref="BF87">CORREL(J87:J1087,S87:S1087)</f>
        <v>-0.0297509582858614</v>
      </c>
      <c r="BH87">
        <v>5</v>
      </c>
      <c r="BI87">
        <f t="shared" si="6"/>
        <v>2</v>
      </c>
      <c r="BJ87">
        <f t="shared" si="7"/>
        <v>2.5</v>
      </c>
    </row>
    <row r="88" spans="1:62">
      <c r="A88" s="1">
        <v>766721193</v>
      </c>
      <c r="B88">
        <v>19</v>
      </c>
      <c r="C88" t="s">
        <v>73</v>
      </c>
      <c r="D88" t="s">
        <v>74</v>
      </c>
      <c r="E88" t="s">
        <v>103</v>
      </c>
      <c r="F88" t="s">
        <v>75</v>
      </c>
      <c r="G88" t="s">
        <v>74</v>
      </c>
      <c r="H88" t="s">
        <v>219</v>
      </c>
      <c r="I88" t="s">
        <v>178</v>
      </c>
      <c r="J88" s="2">
        <v>111.75</v>
      </c>
      <c r="K88">
        <v>4</v>
      </c>
      <c r="L88" t="s">
        <v>78</v>
      </c>
      <c r="M88">
        <v>1</v>
      </c>
      <c r="N88">
        <v>4</v>
      </c>
      <c r="O88">
        <v>0</v>
      </c>
      <c r="P88" t="s">
        <v>74</v>
      </c>
      <c r="Q88" t="s">
        <v>80</v>
      </c>
      <c r="R88">
        <v>1</v>
      </c>
      <c r="S88">
        <v>6</v>
      </c>
      <c r="T88" t="s">
        <v>74</v>
      </c>
      <c r="U88" t="s">
        <v>68</v>
      </c>
      <c r="V88" t="s">
        <v>91</v>
      </c>
      <c r="W88" s="3">
        <v>45575</v>
      </c>
      <c r="X88" t="b">
        <v>0</v>
      </c>
      <c r="Y88" t="b">
        <v>1</v>
      </c>
      <c r="Z88" t="s">
        <v>92</v>
      </c>
      <c r="AA88" t="s">
        <v>83</v>
      </c>
      <c r="AB88">
        <v>8</v>
      </c>
      <c r="AO88" t="str">
        <f t="shared" si="8"/>
        <v>18-25</v>
      </c>
      <c r="BD88">
        <v>4</v>
      </c>
      <c r="BF88" cm="1">
        <f t="array" ref="BF88">CORREL(J88:J1088,S88:S1088)</f>
        <v>-0.0300274226863792</v>
      </c>
      <c r="BH88">
        <v>6</v>
      </c>
      <c r="BI88">
        <f t="shared" si="6"/>
        <v>0.666666666666667</v>
      </c>
      <c r="BJ88">
        <f t="shared" si="7"/>
        <v>9</v>
      </c>
    </row>
    <row r="89" spans="1:62">
      <c r="A89" s="1">
        <v>465035589</v>
      </c>
      <c r="B89">
        <v>41</v>
      </c>
      <c r="C89" t="s">
        <v>59</v>
      </c>
      <c r="D89" t="s">
        <v>74</v>
      </c>
      <c r="E89" t="s">
        <v>98</v>
      </c>
      <c r="F89" t="s">
        <v>87</v>
      </c>
      <c r="G89" t="s">
        <v>74</v>
      </c>
      <c r="H89" t="s">
        <v>220</v>
      </c>
      <c r="I89" t="s">
        <v>89</v>
      </c>
      <c r="J89" s="2">
        <v>136.2</v>
      </c>
      <c r="K89">
        <v>2</v>
      </c>
      <c r="L89" t="s">
        <v>65</v>
      </c>
      <c r="M89">
        <v>3</v>
      </c>
      <c r="N89">
        <v>2</v>
      </c>
      <c r="O89">
        <v>2</v>
      </c>
      <c r="P89" t="s">
        <v>84</v>
      </c>
      <c r="Q89" t="s">
        <v>80</v>
      </c>
      <c r="R89">
        <v>0</v>
      </c>
      <c r="S89">
        <v>1</v>
      </c>
      <c r="T89" t="s">
        <v>74</v>
      </c>
      <c r="U89" t="s">
        <v>68</v>
      </c>
      <c r="V89" t="s">
        <v>81</v>
      </c>
      <c r="W89" s="3">
        <v>45458</v>
      </c>
      <c r="X89" t="b">
        <v>1</v>
      </c>
      <c r="Y89" t="b">
        <v>1</v>
      </c>
      <c r="Z89" t="s">
        <v>70</v>
      </c>
      <c r="AA89" t="s">
        <v>97</v>
      </c>
      <c r="AB89">
        <v>9</v>
      </c>
      <c r="AO89" t="str">
        <f t="shared" si="8"/>
        <v>41-60</v>
      </c>
      <c r="BD89">
        <v>2</v>
      </c>
      <c r="BF89" cm="1">
        <f t="array" ref="BF89">CORREL(J89:J1089,S89:S1089)</f>
        <v>-0.0297888111116458</v>
      </c>
      <c r="BH89">
        <v>1</v>
      </c>
      <c r="BI89">
        <f t="shared" si="6"/>
        <v>2</v>
      </c>
      <c r="BJ89">
        <f t="shared" si="7"/>
        <v>0.5</v>
      </c>
    </row>
    <row r="90" spans="1:62">
      <c r="A90" s="1">
        <v>874996916</v>
      </c>
      <c r="B90">
        <v>48</v>
      </c>
      <c r="C90" t="s">
        <v>73</v>
      </c>
      <c r="D90" t="s">
        <v>60</v>
      </c>
      <c r="E90" t="s">
        <v>61</v>
      </c>
      <c r="F90" t="s">
        <v>75</v>
      </c>
      <c r="G90" t="s">
        <v>60</v>
      </c>
      <c r="H90" t="s">
        <v>221</v>
      </c>
      <c r="I90" t="s">
        <v>77</v>
      </c>
      <c r="J90" s="2">
        <v>439.31</v>
      </c>
      <c r="K90">
        <v>4</v>
      </c>
      <c r="L90" t="s">
        <v>78</v>
      </c>
      <c r="M90">
        <v>3</v>
      </c>
      <c r="N90">
        <v>2</v>
      </c>
      <c r="O90">
        <v>1</v>
      </c>
      <c r="P90" t="s">
        <v>79</v>
      </c>
      <c r="Q90" t="s">
        <v>109</v>
      </c>
      <c r="R90">
        <v>0</v>
      </c>
      <c r="S90">
        <v>6</v>
      </c>
      <c r="T90" t="s">
        <v>79</v>
      </c>
      <c r="U90" t="s">
        <v>90</v>
      </c>
      <c r="V90" t="s">
        <v>91</v>
      </c>
      <c r="W90" s="3">
        <v>45515</v>
      </c>
      <c r="X90" t="b">
        <v>0</v>
      </c>
      <c r="Y90" t="b">
        <v>1</v>
      </c>
      <c r="Z90" t="s">
        <v>82</v>
      </c>
      <c r="AA90" t="s">
        <v>71</v>
      </c>
      <c r="AB90">
        <v>7</v>
      </c>
      <c r="AO90" t="str">
        <f t="shared" si="8"/>
        <v>41-60</v>
      </c>
      <c r="BD90">
        <v>4</v>
      </c>
      <c r="BF90" cm="1">
        <f t="array" ref="BF90">CORREL(J90:J1090,S90:S1090)</f>
        <v>-0.0316501447938826</v>
      </c>
      <c r="BH90">
        <v>6</v>
      </c>
      <c r="BI90">
        <f t="shared" si="6"/>
        <v>0.666666666666667</v>
      </c>
      <c r="BJ90">
        <f t="shared" si="7"/>
        <v>9</v>
      </c>
    </row>
    <row r="91" spans="1:62">
      <c r="A91" s="1">
        <v>305208656</v>
      </c>
      <c r="B91">
        <v>19</v>
      </c>
      <c r="C91" t="s">
        <v>59</v>
      </c>
      <c r="D91" t="s">
        <v>60</v>
      </c>
      <c r="E91" t="s">
        <v>61</v>
      </c>
      <c r="F91" t="s">
        <v>62</v>
      </c>
      <c r="G91" t="s">
        <v>60</v>
      </c>
      <c r="H91" t="s">
        <v>222</v>
      </c>
      <c r="I91" t="s">
        <v>122</v>
      </c>
      <c r="J91" s="2">
        <v>194.93</v>
      </c>
      <c r="K91">
        <v>9</v>
      </c>
      <c r="L91" t="s">
        <v>85</v>
      </c>
      <c r="M91">
        <v>4</v>
      </c>
      <c r="N91">
        <v>4</v>
      </c>
      <c r="O91">
        <v>1</v>
      </c>
      <c r="P91" t="s">
        <v>74</v>
      </c>
      <c r="Q91" t="s">
        <v>67</v>
      </c>
      <c r="R91">
        <v>0</v>
      </c>
      <c r="S91">
        <v>4</v>
      </c>
      <c r="T91" t="s">
        <v>66</v>
      </c>
      <c r="U91" t="s">
        <v>68</v>
      </c>
      <c r="V91" t="s">
        <v>96</v>
      </c>
      <c r="W91" s="3">
        <v>45379</v>
      </c>
      <c r="X91" t="b">
        <v>1</v>
      </c>
      <c r="Y91" t="b">
        <v>1</v>
      </c>
      <c r="Z91" t="s">
        <v>92</v>
      </c>
      <c r="AA91" t="s">
        <v>71</v>
      </c>
      <c r="AB91">
        <v>5</v>
      </c>
      <c r="AO91" t="str">
        <f t="shared" si="8"/>
        <v>18-25</v>
      </c>
      <c r="BD91">
        <v>9</v>
      </c>
      <c r="BF91" cm="1">
        <f t="array" ref="BF91">CORREL(J91:J1091,S91:S1091)</f>
        <v>-0.0319442226031145</v>
      </c>
      <c r="BH91">
        <v>4</v>
      </c>
      <c r="BI91">
        <f t="shared" si="6"/>
        <v>2.25</v>
      </c>
      <c r="BJ91">
        <f t="shared" si="7"/>
        <v>1.77777777777778</v>
      </c>
    </row>
    <row r="92" spans="1:62">
      <c r="A92" s="1">
        <v>363233504</v>
      </c>
      <c r="B92">
        <v>29</v>
      </c>
      <c r="C92" t="s">
        <v>73</v>
      </c>
      <c r="D92" t="s">
        <v>60</v>
      </c>
      <c r="E92" t="s">
        <v>98</v>
      </c>
      <c r="F92" t="s">
        <v>87</v>
      </c>
      <c r="G92" t="s">
        <v>74</v>
      </c>
      <c r="H92" t="s">
        <v>223</v>
      </c>
      <c r="I92" t="s">
        <v>77</v>
      </c>
      <c r="J92" s="2">
        <v>377.67</v>
      </c>
      <c r="K92">
        <v>8</v>
      </c>
      <c r="L92" t="s">
        <v>85</v>
      </c>
      <c r="M92">
        <v>5</v>
      </c>
      <c r="N92">
        <v>3</v>
      </c>
      <c r="O92">
        <v>0</v>
      </c>
      <c r="P92" t="s">
        <v>66</v>
      </c>
      <c r="Q92" t="s">
        <v>109</v>
      </c>
      <c r="R92">
        <v>2</v>
      </c>
      <c r="S92">
        <v>1</v>
      </c>
      <c r="T92" t="s">
        <v>74</v>
      </c>
      <c r="U92" t="s">
        <v>105</v>
      </c>
      <c r="V92" t="s">
        <v>81</v>
      </c>
      <c r="W92" s="3">
        <v>45425</v>
      </c>
      <c r="X92" t="b">
        <v>1</v>
      </c>
      <c r="Y92" t="b">
        <v>0</v>
      </c>
      <c r="Z92" t="s">
        <v>70</v>
      </c>
      <c r="AA92" t="s">
        <v>71</v>
      </c>
      <c r="AB92">
        <v>14</v>
      </c>
      <c r="AO92" t="str">
        <f t="shared" ref="AO92:AO155" si="9">IF(B92&lt;=25,"18-25",IF(B92&lt;=40,"26-40",IF(B92&lt;=60,"41-60","Above60")))</f>
        <v>26-40</v>
      </c>
      <c r="BD92">
        <v>8</v>
      </c>
      <c r="BF92" cm="1">
        <f t="array" ref="BF92">CORREL(J92:J1092,S92:S1092)</f>
        <v>-0.0322939851810913</v>
      </c>
      <c r="BH92">
        <v>1</v>
      </c>
      <c r="BI92">
        <f t="shared" si="6"/>
        <v>8</v>
      </c>
      <c r="BJ92">
        <f t="shared" si="7"/>
        <v>0.125</v>
      </c>
    </row>
    <row r="93" spans="1:62">
      <c r="A93" s="1">
        <v>938104051</v>
      </c>
      <c r="B93">
        <v>26</v>
      </c>
      <c r="C93" t="s">
        <v>224</v>
      </c>
      <c r="D93" t="s">
        <v>74</v>
      </c>
      <c r="E93" t="s">
        <v>86</v>
      </c>
      <c r="F93" t="s">
        <v>87</v>
      </c>
      <c r="G93" t="s">
        <v>74</v>
      </c>
      <c r="H93" t="s">
        <v>225</v>
      </c>
      <c r="I93" t="s">
        <v>174</v>
      </c>
      <c r="J93" s="2">
        <v>108.61</v>
      </c>
      <c r="K93">
        <v>10</v>
      </c>
      <c r="L93" t="s">
        <v>78</v>
      </c>
      <c r="M93">
        <v>3</v>
      </c>
      <c r="N93">
        <v>2</v>
      </c>
      <c r="O93">
        <v>0</v>
      </c>
      <c r="P93" t="s">
        <v>66</v>
      </c>
      <c r="Q93" t="s">
        <v>109</v>
      </c>
      <c r="R93">
        <v>0</v>
      </c>
      <c r="S93">
        <v>3</v>
      </c>
      <c r="T93" t="s">
        <v>84</v>
      </c>
      <c r="U93" t="s">
        <v>90</v>
      </c>
      <c r="V93" t="s">
        <v>110</v>
      </c>
      <c r="W93" s="3">
        <v>45619</v>
      </c>
      <c r="X93" t="b">
        <v>1</v>
      </c>
      <c r="Y93" t="b">
        <v>1</v>
      </c>
      <c r="Z93" t="s">
        <v>70</v>
      </c>
      <c r="AA93" t="s">
        <v>71</v>
      </c>
      <c r="AB93">
        <v>14</v>
      </c>
      <c r="AO93" t="str">
        <f t="shared" si="9"/>
        <v>26-40</v>
      </c>
      <c r="BD93">
        <v>10</v>
      </c>
      <c r="BF93" cm="1">
        <f t="array" ref="BF93">CORREL(J93:J1093,S93:S1093)</f>
        <v>-0.0310022307428136</v>
      </c>
      <c r="BH93">
        <v>3</v>
      </c>
      <c r="BI93">
        <f t="shared" si="6"/>
        <v>3.33333333333333</v>
      </c>
      <c r="BJ93">
        <f t="shared" si="7"/>
        <v>0.9</v>
      </c>
    </row>
    <row r="94" spans="1:62">
      <c r="A94" s="1">
        <v>665153648</v>
      </c>
      <c r="B94">
        <v>20</v>
      </c>
      <c r="C94" t="s">
        <v>59</v>
      </c>
      <c r="D94" t="s">
        <v>60</v>
      </c>
      <c r="E94" t="s">
        <v>61</v>
      </c>
      <c r="F94" t="s">
        <v>62</v>
      </c>
      <c r="G94" t="s">
        <v>60</v>
      </c>
      <c r="H94" t="s">
        <v>226</v>
      </c>
      <c r="I94" t="s">
        <v>122</v>
      </c>
      <c r="J94" s="2">
        <v>366.77</v>
      </c>
      <c r="K94">
        <v>7</v>
      </c>
      <c r="L94" t="s">
        <v>65</v>
      </c>
      <c r="M94">
        <v>4</v>
      </c>
      <c r="N94">
        <v>3</v>
      </c>
      <c r="O94">
        <v>2</v>
      </c>
      <c r="P94" t="s">
        <v>84</v>
      </c>
      <c r="Q94" t="s">
        <v>80</v>
      </c>
      <c r="R94">
        <v>0</v>
      </c>
      <c r="S94">
        <v>9</v>
      </c>
      <c r="T94" t="s">
        <v>66</v>
      </c>
      <c r="U94" t="s">
        <v>90</v>
      </c>
      <c r="V94" t="s">
        <v>91</v>
      </c>
      <c r="W94" s="3">
        <v>45553</v>
      </c>
      <c r="X94" t="b">
        <v>0</v>
      </c>
      <c r="Y94" t="b">
        <v>0</v>
      </c>
      <c r="Z94" t="s">
        <v>92</v>
      </c>
      <c r="AA94" t="s">
        <v>83</v>
      </c>
      <c r="AB94">
        <v>1</v>
      </c>
      <c r="AO94" t="str">
        <f t="shared" si="9"/>
        <v>18-25</v>
      </c>
      <c r="BD94">
        <v>7</v>
      </c>
      <c r="BF94" cm="1">
        <f t="array" ref="BF94">CORREL(J94:J1094,S94:S1094)</f>
        <v>-0.0322414925102414</v>
      </c>
      <c r="BH94">
        <v>9</v>
      </c>
      <c r="BI94">
        <f t="shared" si="6"/>
        <v>0.777777777777778</v>
      </c>
      <c r="BJ94">
        <f t="shared" si="7"/>
        <v>11.5714285714286</v>
      </c>
    </row>
    <row r="95" spans="1:62">
      <c r="A95" s="4" t="s">
        <v>227</v>
      </c>
      <c r="B95">
        <v>31</v>
      </c>
      <c r="C95" t="s">
        <v>59</v>
      </c>
      <c r="D95" t="s">
        <v>74</v>
      </c>
      <c r="E95" t="s">
        <v>103</v>
      </c>
      <c r="F95" t="s">
        <v>87</v>
      </c>
      <c r="G95" t="s">
        <v>60</v>
      </c>
      <c r="H95" t="s">
        <v>228</v>
      </c>
      <c r="I95" t="s">
        <v>209</v>
      </c>
      <c r="J95" s="2">
        <v>178.04</v>
      </c>
      <c r="K95">
        <v>5</v>
      </c>
      <c r="L95" t="s">
        <v>78</v>
      </c>
      <c r="M95">
        <v>5</v>
      </c>
      <c r="N95">
        <v>1</v>
      </c>
      <c r="O95">
        <v>2</v>
      </c>
      <c r="P95" t="s">
        <v>79</v>
      </c>
      <c r="Q95" t="s">
        <v>67</v>
      </c>
      <c r="R95">
        <v>0</v>
      </c>
      <c r="S95">
        <v>5</v>
      </c>
      <c r="T95" t="s">
        <v>74</v>
      </c>
      <c r="U95" t="s">
        <v>68</v>
      </c>
      <c r="V95" t="s">
        <v>69</v>
      </c>
      <c r="W95" s="3">
        <v>45489</v>
      </c>
      <c r="X95" t="b">
        <v>0</v>
      </c>
      <c r="Y95" t="b">
        <v>0</v>
      </c>
      <c r="Z95" t="s">
        <v>70</v>
      </c>
      <c r="AA95" t="s">
        <v>71</v>
      </c>
      <c r="AB95">
        <v>12</v>
      </c>
      <c r="AO95" t="str">
        <f t="shared" si="9"/>
        <v>26-40</v>
      </c>
      <c r="BD95">
        <v>5</v>
      </c>
      <c r="BF95" cm="1">
        <f t="array" ref="BF95">CORREL(J95:J1095,S95:S1095)</f>
        <v>-0.0332372856781927</v>
      </c>
      <c r="BH95">
        <v>5</v>
      </c>
      <c r="BI95">
        <f t="shared" si="6"/>
        <v>1</v>
      </c>
      <c r="BJ95">
        <f t="shared" si="7"/>
        <v>5</v>
      </c>
    </row>
    <row r="96" spans="1:62">
      <c r="A96" s="1">
        <v>232532565</v>
      </c>
      <c r="B96">
        <v>23</v>
      </c>
      <c r="C96" t="s">
        <v>59</v>
      </c>
      <c r="D96" t="s">
        <v>74</v>
      </c>
      <c r="E96" t="s">
        <v>103</v>
      </c>
      <c r="F96" t="s">
        <v>75</v>
      </c>
      <c r="G96" t="s">
        <v>74</v>
      </c>
      <c r="H96" t="s">
        <v>229</v>
      </c>
      <c r="I96" t="s">
        <v>137</v>
      </c>
      <c r="J96" s="2">
        <v>461.09</v>
      </c>
      <c r="K96">
        <v>8</v>
      </c>
      <c r="L96" t="s">
        <v>85</v>
      </c>
      <c r="M96">
        <v>4</v>
      </c>
      <c r="N96">
        <v>1</v>
      </c>
      <c r="O96">
        <v>0</v>
      </c>
      <c r="P96" t="s">
        <v>79</v>
      </c>
      <c r="Q96" t="s">
        <v>67</v>
      </c>
      <c r="R96">
        <v>0</v>
      </c>
      <c r="S96">
        <v>4</v>
      </c>
      <c r="T96" t="s">
        <v>79</v>
      </c>
      <c r="U96" t="s">
        <v>90</v>
      </c>
      <c r="V96" t="s">
        <v>91</v>
      </c>
      <c r="W96" s="3">
        <v>45507</v>
      </c>
      <c r="X96" t="b">
        <v>1</v>
      </c>
      <c r="Y96" t="b">
        <v>0</v>
      </c>
      <c r="Z96" t="s">
        <v>70</v>
      </c>
      <c r="AA96" t="s">
        <v>71</v>
      </c>
      <c r="AB96">
        <v>8</v>
      </c>
      <c r="AO96" t="str">
        <f t="shared" si="9"/>
        <v>18-25</v>
      </c>
      <c r="BD96">
        <v>8</v>
      </c>
      <c r="BF96" cm="1">
        <f t="array" ref="BF96">CORREL(J96:J1096,S96:S1096)</f>
        <v>-0.0333768486654082</v>
      </c>
      <c r="BH96">
        <v>4</v>
      </c>
      <c r="BI96">
        <f t="shared" si="6"/>
        <v>2</v>
      </c>
      <c r="BJ96">
        <f t="shared" si="7"/>
        <v>2</v>
      </c>
    </row>
    <row r="97" spans="1:62">
      <c r="A97" s="1">
        <v>745094985</v>
      </c>
      <c r="B97">
        <v>19</v>
      </c>
      <c r="C97" t="s">
        <v>59</v>
      </c>
      <c r="D97" t="s">
        <v>74</v>
      </c>
      <c r="E97" t="s">
        <v>86</v>
      </c>
      <c r="F97" t="s">
        <v>75</v>
      </c>
      <c r="G97" t="s">
        <v>60</v>
      </c>
      <c r="H97" t="s">
        <v>230</v>
      </c>
      <c r="I97" t="s">
        <v>124</v>
      </c>
      <c r="J97" s="2">
        <v>211.16</v>
      </c>
      <c r="K97">
        <v>5</v>
      </c>
      <c r="L97" t="s">
        <v>78</v>
      </c>
      <c r="M97">
        <v>2</v>
      </c>
      <c r="N97">
        <v>3</v>
      </c>
      <c r="O97">
        <v>1</v>
      </c>
      <c r="P97" t="s">
        <v>74</v>
      </c>
      <c r="Q97" t="s">
        <v>109</v>
      </c>
      <c r="R97">
        <v>0</v>
      </c>
      <c r="S97">
        <v>3</v>
      </c>
      <c r="T97" t="s">
        <v>66</v>
      </c>
      <c r="U97" t="s">
        <v>90</v>
      </c>
      <c r="V97" t="s">
        <v>81</v>
      </c>
      <c r="W97" s="3">
        <v>45471</v>
      </c>
      <c r="X97" t="b">
        <v>0</v>
      </c>
      <c r="Y97" t="b">
        <v>0</v>
      </c>
      <c r="Z97" t="s">
        <v>102</v>
      </c>
      <c r="AA97" t="s">
        <v>83</v>
      </c>
      <c r="AB97">
        <v>2</v>
      </c>
      <c r="AO97" t="str">
        <f t="shared" si="9"/>
        <v>18-25</v>
      </c>
      <c r="BD97">
        <v>5</v>
      </c>
      <c r="BF97" cm="1">
        <f t="array" ref="BF97">CORREL(J97:J1097,S97:S1097)</f>
        <v>-0.032619955208908</v>
      </c>
      <c r="BH97">
        <v>3</v>
      </c>
      <c r="BI97">
        <f t="shared" si="6"/>
        <v>1.66666666666667</v>
      </c>
      <c r="BJ97">
        <f t="shared" si="7"/>
        <v>1.8</v>
      </c>
    </row>
    <row r="98" spans="1:62">
      <c r="A98" s="4" t="s">
        <v>231</v>
      </c>
      <c r="B98">
        <v>23</v>
      </c>
      <c r="C98" t="s">
        <v>59</v>
      </c>
      <c r="D98" t="s">
        <v>60</v>
      </c>
      <c r="E98" t="s">
        <v>98</v>
      </c>
      <c r="F98" t="s">
        <v>62</v>
      </c>
      <c r="G98" t="s">
        <v>74</v>
      </c>
      <c r="H98" t="s">
        <v>232</v>
      </c>
      <c r="I98" t="s">
        <v>120</v>
      </c>
      <c r="J98" s="2">
        <v>421.95</v>
      </c>
      <c r="K98">
        <v>8</v>
      </c>
      <c r="L98" t="s">
        <v>65</v>
      </c>
      <c r="M98">
        <v>3</v>
      </c>
      <c r="N98">
        <v>5</v>
      </c>
      <c r="O98">
        <v>0</v>
      </c>
      <c r="P98" t="s">
        <v>79</v>
      </c>
      <c r="Q98" t="s">
        <v>80</v>
      </c>
      <c r="R98">
        <v>1</v>
      </c>
      <c r="S98">
        <v>1</v>
      </c>
      <c r="T98" t="s">
        <v>66</v>
      </c>
      <c r="U98" t="s">
        <v>90</v>
      </c>
      <c r="V98" t="s">
        <v>96</v>
      </c>
      <c r="W98" s="3">
        <v>45369</v>
      </c>
      <c r="X98" t="b">
        <v>0</v>
      </c>
      <c r="Y98" t="b">
        <v>1</v>
      </c>
      <c r="Z98" t="s">
        <v>70</v>
      </c>
      <c r="AA98" t="s">
        <v>71</v>
      </c>
      <c r="AB98">
        <v>7</v>
      </c>
      <c r="AO98" t="str">
        <f t="shared" si="9"/>
        <v>18-25</v>
      </c>
      <c r="BD98">
        <v>8</v>
      </c>
      <c r="BF98" cm="1">
        <f t="array" ref="BF98">CORREL(J98:J1098,S98:S1098)</f>
        <v>-0.0330975585191805</v>
      </c>
      <c r="BH98">
        <v>1</v>
      </c>
      <c r="BI98">
        <f t="shared" si="6"/>
        <v>8</v>
      </c>
      <c r="BJ98">
        <f t="shared" si="7"/>
        <v>0.125</v>
      </c>
    </row>
    <row r="99" spans="1:62">
      <c r="A99" s="1">
        <v>265218328</v>
      </c>
      <c r="B99">
        <v>49</v>
      </c>
      <c r="C99" t="s">
        <v>59</v>
      </c>
      <c r="D99" t="s">
        <v>60</v>
      </c>
      <c r="E99" t="s">
        <v>103</v>
      </c>
      <c r="F99" t="s">
        <v>62</v>
      </c>
      <c r="G99" t="s">
        <v>74</v>
      </c>
      <c r="H99" t="s">
        <v>233</v>
      </c>
      <c r="I99" t="s">
        <v>100</v>
      </c>
      <c r="J99" s="2">
        <v>378.59</v>
      </c>
      <c r="K99">
        <v>5</v>
      </c>
      <c r="L99" t="s">
        <v>85</v>
      </c>
      <c r="M99">
        <v>2</v>
      </c>
      <c r="N99">
        <v>1</v>
      </c>
      <c r="O99">
        <v>0</v>
      </c>
      <c r="P99" t="s">
        <v>66</v>
      </c>
      <c r="Q99" t="s">
        <v>67</v>
      </c>
      <c r="R99">
        <v>0</v>
      </c>
      <c r="S99">
        <v>4</v>
      </c>
      <c r="T99" t="s">
        <v>74</v>
      </c>
      <c r="U99" t="s">
        <v>105</v>
      </c>
      <c r="V99" t="s">
        <v>96</v>
      </c>
      <c r="W99" s="3">
        <v>45580</v>
      </c>
      <c r="X99" t="b">
        <v>0</v>
      </c>
      <c r="Y99" t="b">
        <v>0</v>
      </c>
      <c r="Z99" t="s">
        <v>82</v>
      </c>
      <c r="AA99" t="s">
        <v>71</v>
      </c>
      <c r="AB99">
        <v>14</v>
      </c>
      <c r="AO99" t="str">
        <f t="shared" si="9"/>
        <v>41-60</v>
      </c>
      <c r="BD99">
        <v>5</v>
      </c>
      <c r="BF99" cm="1">
        <f t="array" ref="BF99">CORREL(J99:J1099,S99:S1099)</f>
        <v>-0.0312232704903048</v>
      </c>
      <c r="BH99">
        <v>4</v>
      </c>
      <c r="BI99">
        <f t="shared" si="6"/>
        <v>1.25</v>
      </c>
      <c r="BJ99">
        <f t="shared" si="7"/>
        <v>3.2</v>
      </c>
    </row>
    <row r="100" spans="1:62">
      <c r="A100" s="1">
        <v>311476197</v>
      </c>
      <c r="B100">
        <v>23</v>
      </c>
      <c r="C100" t="s">
        <v>175</v>
      </c>
      <c r="D100" t="s">
        <v>74</v>
      </c>
      <c r="E100" t="s">
        <v>103</v>
      </c>
      <c r="F100" t="s">
        <v>75</v>
      </c>
      <c r="G100" t="s">
        <v>74</v>
      </c>
      <c r="H100" t="s">
        <v>234</v>
      </c>
      <c r="I100" t="s">
        <v>89</v>
      </c>
      <c r="J100" s="2">
        <v>268.93</v>
      </c>
      <c r="K100">
        <v>2</v>
      </c>
      <c r="L100" t="s">
        <v>65</v>
      </c>
      <c r="M100">
        <v>5</v>
      </c>
      <c r="N100">
        <v>5</v>
      </c>
      <c r="O100">
        <v>1</v>
      </c>
      <c r="P100" t="s">
        <v>79</v>
      </c>
      <c r="Q100" t="s">
        <v>109</v>
      </c>
      <c r="R100">
        <v>1</v>
      </c>
      <c r="S100">
        <v>3</v>
      </c>
      <c r="T100" t="s">
        <v>66</v>
      </c>
      <c r="U100" t="s">
        <v>68</v>
      </c>
      <c r="V100" t="s">
        <v>91</v>
      </c>
      <c r="W100" s="3">
        <v>45619</v>
      </c>
      <c r="X100" t="b">
        <v>0</v>
      </c>
      <c r="Y100" t="b">
        <v>0</v>
      </c>
      <c r="Z100" t="s">
        <v>92</v>
      </c>
      <c r="AA100" t="s">
        <v>97</v>
      </c>
      <c r="AB100">
        <v>8</v>
      </c>
      <c r="AO100" t="str">
        <f t="shared" si="9"/>
        <v>18-25</v>
      </c>
      <c r="BD100">
        <v>2</v>
      </c>
      <c r="BF100" cm="1">
        <f t="array" ref="BF100">CORREL(J100:J1100,S100:S1100)</f>
        <v>-0.0307881519608823</v>
      </c>
      <c r="BH100">
        <v>3</v>
      </c>
      <c r="BI100">
        <f t="shared" si="6"/>
        <v>0.666666666666667</v>
      </c>
      <c r="BJ100">
        <f t="shared" si="7"/>
        <v>4.5</v>
      </c>
    </row>
    <row r="101" spans="1:62">
      <c r="A101" s="1">
        <v>900930469</v>
      </c>
      <c r="B101">
        <v>42</v>
      </c>
      <c r="C101" t="s">
        <v>73</v>
      </c>
      <c r="D101" t="s">
        <v>60</v>
      </c>
      <c r="E101" t="s">
        <v>103</v>
      </c>
      <c r="F101" t="s">
        <v>62</v>
      </c>
      <c r="G101" t="s">
        <v>74</v>
      </c>
      <c r="H101" t="s">
        <v>235</v>
      </c>
      <c r="I101" t="s">
        <v>122</v>
      </c>
      <c r="J101" s="2">
        <v>444.87</v>
      </c>
      <c r="K101">
        <v>11</v>
      </c>
      <c r="L101" t="s">
        <v>85</v>
      </c>
      <c r="M101">
        <v>5</v>
      </c>
      <c r="N101">
        <v>4</v>
      </c>
      <c r="O101">
        <v>0</v>
      </c>
      <c r="P101" t="s">
        <v>79</v>
      </c>
      <c r="Q101" t="s">
        <v>80</v>
      </c>
      <c r="R101">
        <v>1</v>
      </c>
      <c r="S101">
        <v>8</v>
      </c>
      <c r="T101" t="s">
        <v>84</v>
      </c>
      <c r="U101" t="s">
        <v>105</v>
      </c>
      <c r="V101" t="s">
        <v>96</v>
      </c>
      <c r="W101" s="3">
        <v>45625</v>
      </c>
      <c r="X101" t="b">
        <v>0</v>
      </c>
      <c r="Y101" t="b">
        <v>0</v>
      </c>
      <c r="Z101" t="s">
        <v>82</v>
      </c>
      <c r="AA101" t="s">
        <v>71</v>
      </c>
      <c r="AB101">
        <v>7</v>
      </c>
      <c r="AO101" t="str">
        <f t="shared" si="9"/>
        <v>41-60</v>
      </c>
      <c r="BD101">
        <v>11</v>
      </c>
      <c r="BF101" cm="1">
        <f t="array" ref="BF101">CORREL(J101:J1101,S101:S1101)</f>
        <v>-0.0308409409485307</v>
      </c>
      <c r="BH101">
        <v>8</v>
      </c>
      <c r="BI101">
        <f t="shared" si="6"/>
        <v>1.375</v>
      </c>
      <c r="BJ101">
        <f t="shared" si="7"/>
        <v>5.81818181818182</v>
      </c>
    </row>
    <row r="102" spans="1:62">
      <c r="A102" s="1">
        <v>389351865</v>
      </c>
      <c r="B102">
        <v>18</v>
      </c>
      <c r="C102" t="s">
        <v>59</v>
      </c>
      <c r="D102" t="s">
        <v>74</v>
      </c>
      <c r="E102" t="s">
        <v>98</v>
      </c>
      <c r="F102" t="s">
        <v>62</v>
      </c>
      <c r="G102" t="s">
        <v>74</v>
      </c>
      <c r="H102" t="s">
        <v>236</v>
      </c>
      <c r="I102" t="s">
        <v>174</v>
      </c>
      <c r="J102" s="2">
        <v>160.82</v>
      </c>
      <c r="K102">
        <v>7</v>
      </c>
      <c r="L102" t="s">
        <v>78</v>
      </c>
      <c r="M102">
        <v>3</v>
      </c>
      <c r="N102">
        <v>1</v>
      </c>
      <c r="O102">
        <v>1</v>
      </c>
      <c r="P102" t="s">
        <v>74</v>
      </c>
      <c r="Q102" t="s">
        <v>67</v>
      </c>
      <c r="R102">
        <v>0</v>
      </c>
      <c r="S102">
        <v>1</v>
      </c>
      <c r="T102" t="s">
        <v>74</v>
      </c>
      <c r="U102" t="s">
        <v>90</v>
      </c>
      <c r="V102" t="s">
        <v>110</v>
      </c>
      <c r="W102" s="3">
        <v>45482</v>
      </c>
      <c r="X102" t="b">
        <v>1</v>
      </c>
      <c r="Y102" t="b">
        <v>1</v>
      </c>
      <c r="Z102" t="s">
        <v>82</v>
      </c>
      <c r="AA102" t="s">
        <v>71</v>
      </c>
      <c r="AB102">
        <v>3</v>
      </c>
      <c r="AO102" t="str">
        <f t="shared" si="9"/>
        <v>18-25</v>
      </c>
      <c r="BD102">
        <v>7</v>
      </c>
      <c r="BF102" cm="1">
        <f t="array" ref="BF102">CORREL(J102:J1102,S102:S1102)</f>
        <v>-0.0321634141179174</v>
      </c>
      <c r="BH102">
        <v>1</v>
      </c>
      <c r="BI102">
        <f t="shared" si="6"/>
        <v>7</v>
      </c>
      <c r="BJ102">
        <f t="shared" si="7"/>
        <v>0.142857142857143</v>
      </c>
    </row>
    <row r="103" spans="1:62">
      <c r="A103" s="1">
        <v>759538663</v>
      </c>
      <c r="B103">
        <v>35</v>
      </c>
      <c r="C103" t="s">
        <v>73</v>
      </c>
      <c r="D103" t="s">
        <v>74</v>
      </c>
      <c r="E103" t="s">
        <v>86</v>
      </c>
      <c r="F103" t="s">
        <v>87</v>
      </c>
      <c r="G103" t="s">
        <v>60</v>
      </c>
      <c r="H103" t="s">
        <v>237</v>
      </c>
      <c r="I103" t="s">
        <v>124</v>
      </c>
      <c r="J103" s="2">
        <v>494.18</v>
      </c>
      <c r="K103">
        <v>6</v>
      </c>
      <c r="L103" t="s">
        <v>65</v>
      </c>
      <c r="M103">
        <v>4</v>
      </c>
      <c r="N103">
        <v>5</v>
      </c>
      <c r="O103">
        <v>1</v>
      </c>
      <c r="P103" t="s">
        <v>79</v>
      </c>
      <c r="Q103" t="s">
        <v>80</v>
      </c>
      <c r="R103">
        <v>1</v>
      </c>
      <c r="S103">
        <v>2</v>
      </c>
      <c r="T103" t="s">
        <v>66</v>
      </c>
      <c r="U103" t="s">
        <v>105</v>
      </c>
      <c r="V103" t="s">
        <v>110</v>
      </c>
      <c r="W103" s="3">
        <v>45507</v>
      </c>
      <c r="X103" t="b">
        <v>0</v>
      </c>
      <c r="Y103" t="b">
        <v>0</v>
      </c>
      <c r="Z103" t="s">
        <v>70</v>
      </c>
      <c r="AA103" t="s">
        <v>83</v>
      </c>
      <c r="AB103">
        <v>14</v>
      </c>
      <c r="AO103" t="str">
        <f t="shared" si="9"/>
        <v>26-40</v>
      </c>
      <c r="BD103">
        <v>6</v>
      </c>
      <c r="BF103" cm="1">
        <f t="array" ref="BF103">CORREL(J103:J1103,S103:S1103)</f>
        <v>-0.0337245551203168</v>
      </c>
      <c r="BH103">
        <v>2</v>
      </c>
      <c r="BI103">
        <f t="shared" si="6"/>
        <v>3</v>
      </c>
      <c r="BJ103">
        <f t="shared" si="7"/>
        <v>0.666666666666667</v>
      </c>
    </row>
    <row r="104" spans="1:62">
      <c r="A104" s="1">
        <v>384782681</v>
      </c>
      <c r="B104">
        <v>22</v>
      </c>
      <c r="C104" t="s">
        <v>73</v>
      </c>
      <c r="D104" t="s">
        <v>60</v>
      </c>
      <c r="E104" t="s">
        <v>86</v>
      </c>
      <c r="F104" t="s">
        <v>62</v>
      </c>
      <c r="G104" t="s">
        <v>60</v>
      </c>
      <c r="H104" t="s">
        <v>238</v>
      </c>
      <c r="I104" t="s">
        <v>95</v>
      </c>
      <c r="J104" s="2">
        <v>177.05</v>
      </c>
      <c r="K104">
        <v>5</v>
      </c>
      <c r="L104" t="s">
        <v>85</v>
      </c>
      <c r="M104">
        <v>3</v>
      </c>
      <c r="N104">
        <v>1</v>
      </c>
      <c r="O104">
        <v>1</v>
      </c>
      <c r="P104" t="s">
        <v>66</v>
      </c>
      <c r="Q104" t="s">
        <v>67</v>
      </c>
      <c r="R104">
        <v>2</v>
      </c>
      <c r="S104">
        <v>1</v>
      </c>
      <c r="T104" t="s">
        <v>84</v>
      </c>
      <c r="U104" t="s">
        <v>68</v>
      </c>
      <c r="V104" t="s">
        <v>110</v>
      </c>
      <c r="W104" s="3">
        <v>45630</v>
      </c>
      <c r="X104" t="b">
        <v>1</v>
      </c>
      <c r="Y104" t="b">
        <v>1</v>
      </c>
      <c r="Z104" t="s">
        <v>92</v>
      </c>
      <c r="AA104" t="s">
        <v>83</v>
      </c>
      <c r="AB104">
        <v>1</v>
      </c>
      <c r="AO104" t="str">
        <f t="shared" si="9"/>
        <v>18-25</v>
      </c>
      <c r="BD104">
        <v>5</v>
      </c>
      <c r="BF104" cm="1">
        <f t="array" ref="BF104">CORREL(J104:J1104,S104:S1104)</f>
        <v>-0.0315343518612225</v>
      </c>
      <c r="BH104">
        <v>1</v>
      </c>
      <c r="BI104">
        <f t="shared" si="6"/>
        <v>5</v>
      </c>
      <c r="BJ104">
        <f t="shared" si="7"/>
        <v>0.2</v>
      </c>
    </row>
    <row r="105" spans="1:62">
      <c r="A105" s="1">
        <v>708955298</v>
      </c>
      <c r="B105">
        <v>28</v>
      </c>
      <c r="C105" t="s">
        <v>59</v>
      </c>
      <c r="D105" t="s">
        <v>60</v>
      </c>
      <c r="E105" t="s">
        <v>61</v>
      </c>
      <c r="F105" t="s">
        <v>87</v>
      </c>
      <c r="G105" t="s">
        <v>74</v>
      </c>
      <c r="H105" t="s">
        <v>239</v>
      </c>
      <c r="I105" t="s">
        <v>77</v>
      </c>
      <c r="J105" s="2">
        <v>450.66</v>
      </c>
      <c r="K105">
        <v>7</v>
      </c>
      <c r="L105" t="s">
        <v>78</v>
      </c>
      <c r="M105">
        <v>2</v>
      </c>
      <c r="N105">
        <v>5</v>
      </c>
      <c r="O105">
        <v>0</v>
      </c>
      <c r="P105" t="s">
        <v>74</v>
      </c>
      <c r="Q105" t="s">
        <v>67</v>
      </c>
      <c r="R105">
        <v>2</v>
      </c>
      <c r="S105">
        <v>4</v>
      </c>
      <c r="T105" t="s">
        <v>79</v>
      </c>
      <c r="U105" t="s">
        <v>68</v>
      </c>
      <c r="V105" t="s">
        <v>69</v>
      </c>
      <c r="W105" s="3">
        <v>45456</v>
      </c>
      <c r="X105" t="b">
        <v>0</v>
      </c>
      <c r="Y105" t="b">
        <v>1</v>
      </c>
      <c r="Z105" t="s">
        <v>70</v>
      </c>
      <c r="AA105" t="s">
        <v>71</v>
      </c>
      <c r="AB105">
        <v>9</v>
      </c>
      <c r="AO105" t="str">
        <f t="shared" si="9"/>
        <v>26-40</v>
      </c>
      <c r="BD105">
        <v>7</v>
      </c>
      <c r="BF105" cm="1">
        <f t="array" ref="BF105">CORREL(J105:J1105,S105:S1105)</f>
        <v>-0.0328822459205969</v>
      </c>
      <c r="BH105">
        <v>4</v>
      </c>
      <c r="BI105">
        <f t="shared" si="6"/>
        <v>1.75</v>
      </c>
      <c r="BJ105">
        <f t="shared" si="7"/>
        <v>2.28571428571429</v>
      </c>
    </row>
    <row r="106" spans="1:62">
      <c r="A106" s="4" t="s">
        <v>240</v>
      </c>
      <c r="B106">
        <v>42</v>
      </c>
      <c r="C106" t="s">
        <v>59</v>
      </c>
      <c r="D106" t="s">
        <v>74</v>
      </c>
      <c r="E106" t="s">
        <v>61</v>
      </c>
      <c r="F106" t="s">
        <v>62</v>
      </c>
      <c r="G106" t="s">
        <v>60</v>
      </c>
      <c r="H106" t="s">
        <v>241</v>
      </c>
      <c r="I106" t="s">
        <v>143</v>
      </c>
      <c r="J106" s="2">
        <v>164.27</v>
      </c>
      <c r="K106">
        <v>6</v>
      </c>
      <c r="L106" t="s">
        <v>85</v>
      </c>
      <c r="M106">
        <v>5</v>
      </c>
      <c r="N106">
        <v>3</v>
      </c>
      <c r="O106">
        <v>2</v>
      </c>
      <c r="P106" t="s">
        <v>74</v>
      </c>
      <c r="Q106" t="s">
        <v>80</v>
      </c>
      <c r="R106">
        <v>2</v>
      </c>
      <c r="S106">
        <v>7</v>
      </c>
      <c r="T106" t="s">
        <v>84</v>
      </c>
      <c r="U106" t="s">
        <v>105</v>
      </c>
      <c r="V106" t="s">
        <v>81</v>
      </c>
      <c r="W106" s="3">
        <v>45486</v>
      </c>
      <c r="X106" t="b">
        <v>1</v>
      </c>
      <c r="Y106" t="b">
        <v>0</v>
      </c>
      <c r="Z106" t="s">
        <v>82</v>
      </c>
      <c r="AA106" t="s">
        <v>71</v>
      </c>
      <c r="AB106">
        <v>14</v>
      </c>
      <c r="AO106" t="str">
        <f t="shared" si="9"/>
        <v>41-60</v>
      </c>
      <c r="BD106">
        <v>6</v>
      </c>
      <c r="BF106" cm="1">
        <f t="array" ref="BF106">CORREL(J106:J1106,S106:S1106)</f>
        <v>-0.0321416672217739</v>
      </c>
      <c r="BH106">
        <v>7</v>
      </c>
      <c r="BI106">
        <f t="shared" si="6"/>
        <v>0.857142857142857</v>
      </c>
      <c r="BJ106">
        <f t="shared" si="7"/>
        <v>8.16666666666667</v>
      </c>
    </row>
    <row r="107" spans="1:62">
      <c r="A107" s="1">
        <v>117198800</v>
      </c>
      <c r="B107">
        <v>37</v>
      </c>
      <c r="C107" t="s">
        <v>59</v>
      </c>
      <c r="D107" t="s">
        <v>60</v>
      </c>
      <c r="E107" t="s">
        <v>98</v>
      </c>
      <c r="F107" t="s">
        <v>87</v>
      </c>
      <c r="G107" t="s">
        <v>74</v>
      </c>
      <c r="H107" t="s">
        <v>242</v>
      </c>
      <c r="I107" t="s">
        <v>77</v>
      </c>
      <c r="J107" s="2">
        <v>346.36</v>
      </c>
      <c r="K107">
        <v>12</v>
      </c>
      <c r="L107" t="s">
        <v>65</v>
      </c>
      <c r="M107">
        <v>4</v>
      </c>
      <c r="N107">
        <v>5</v>
      </c>
      <c r="O107">
        <v>0</v>
      </c>
      <c r="P107" t="s">
        <v>79</v>
      </c>
      <c r="Q107" t="s">
        <v>67</v>
      </c>
      <c r="R107">
        <v>0</v>
      </c>
      <c r="S107">
        <v>7</v>
      </c>
      <c r="T107" t="s">
        <v>79</v>
      </c>
      <c r="U107" t="s">
        <v>90</v>
      </c>
      <c r="V107" t="s">
        <v>69</v>
      </c>
      <c r="W107" s="3">
        <v>45539</v>
      </c>
      <c r="X107" t="b">
        <v>0</v>
      </c>
      <c r="Y107" t="b">
        <v>0</v>
      </c>
      <c r="Z107" t="s">
        <v>70</v>
      </c>
      <c r="AA107" t="s">
        <v>83</v>
      </c>
      <c r="AB107">
        <v>14</v>
      </c>
      <c r="AO107" t="str">
        <f t="shared" si="9"/>
        <v>26-40</v>
      </c>
      <c r="BD107">
        <v>12</v>
      </c>
      <c r="BF107" cm="1">
        <f t="array" ref="BF107">CORREL(J107:J1107,S107:S1107)</f>
        <v>-0.0316608920119107</v>
      </c>
      <c r="BH107">
        <v>7</v>
      </c>
      <c r="BI107">
        <f t="shared" si="6"/>
        <v>1.71428571428571</v>
      </c>
      <c r="BJ107">
        <f t="shared" si="7"/>
        <v>4.08333333333333</v>
      </c>
    </row>
    <row r="108" spans="1:62">
      <c r="A108" s="1">
        <v>593555251</v>
      </c>
      <c r="B108">
        <v>33</v>
      </c>
      <c r="C108" t="s">
        <v>59</v>
      </c>
      <c r="D108" t="s">
        <v>60</v>
      </c>
      <c r="E108" t="s">
        <v>98</v>
      </c>
      <c r="F108" t="s">
        <v>75</v>
      </c>
      <c r="G108" t="s">
        <v>74</v>
      </c>
      <c r="H108" t="s">
        <v>243</v>
      </c>
      <c r="I108" t="s">
        <v>120</v>
      </c>
      <c r="J108" s="2">
        <v>377.77</v>
      </c>
      <c r="K108">
        <v>9</v>
      </c>
      <c r="L108" t="s">
        <v>65</v>
      </c>
      <c r="M108">
        <v>4</v>
      </c>
      <c r="N108">
        <v>2</v>
      </c>
      <c r="O108">
        <v>1</v>
      </c>
      <c r="P108" t="s">
        <v>79</v>
      </c>
      <c r="Q108" t="s">
        <v>80</v>
      </c>
      <c r="R108">
        <v>1</v>
      </c>
      <c r="S108">
        <v>5</v>
      </c>
      <c r="T108" t="s">
        <v>79</v>
      </c>
      <c r="U108" t="s">
        <v>68</v>
      </c>
      <c r="V108" t="s">
        <v>69</v>
      </c>
      <c r="W108" s="3">
        <v>45530</v>
      </c>
      <c r="X108" t="b">
        <v>1</v>
      </c>
      <c r="Y108" t="b">
        <v>1</v>
      </c>
      <c r="Z108" t="s">
        <v>92</v>
      </c>
      <c r="AA108" t="s">
        <v>83</v>
      </c>
      <c r="AB108">
        <v>3</v>
      </c>
      <c r="AO108" t="str">
        <f t="shared" si="9"/>
        <v>26-40</v>
      </c>
      <c r="BD108">
        <v>9</v>
      </c>
      <c r="BF108" cm="1">
        <f t="array" ref="BF108">CORREL(J108:J1108,S108:S1108)</f>
        <v>-0.0319997094105239</v>
      </c>
      <c r="BH108">
        <v>5</v>
      </c>
      <c r="BI108">
        <f t="shared" si="6"/>
        <v>1.8</v>
      </c>
      <c r="BJ108">
        <f t="shared" si="7"/>
        <v>2.77777777777778</v>
      </c>
    </row>
    <row r="109" spans="1:62">
      <c r="A109" s="1">
        <v>825729091</v>
      </c>
      <c r="B109">
        <v>46</v>
      </c>
      <c r="C109" t="s">
        <v>59</v>
      </c>
      <c r="D109" t="s">
        <v>60</v>
      </c>
      <c r="E109" t="s">
        <v>98</v>
      </c>
      <c r="F109" t="s">
        <v>75</v>
      </c>
      <c r="G109" t="s">
        <v>60</v>
      </c>
      <c r="H109" t="s">
        <v>244</v>
      </c>
      <c r="I109" t="s">
        <v>178</v>
      </c>
      <c r="J109" s="2">
        <v>163.41</v>
      </c>
      <c r="K109">
        <v>2</v>
      </c>
      <c r="L109" t="s">
        <v>78</v>
      </c>
      <c r="M109">
        <v>5</v>
      </c>
      <c r="N109">
        <v>5</v>
      </c>
      <c r="O109">
        <v>2</v>
      </c>
      <c r="P109" t="s">
        <v>84</v>
      </c>
      <c r="Q109" t="s">
        <v>80</v>
      </c>
      <c r="R109">
        <v>1</v>
      </c>
      <c r="S109">
        <v>8</v>
      </c>
      <c r="T109" t="s">
        <v>74</v>
      </c>
      <c r="U109" t="s">
        <v>105</v>
      </c>
      <c r="V109" t="s">
        <v>96</v>
      </c>
      <c r="W109" s="3">
        <v>45347</v>
      </c>
      <c r="X109" t="b">
        <v>1</v>
      </c>
      <c r="Y109" t="b">
        <v>1</v>
      </c>
      <c r="Z109" t="s">
        <v>70</v>
      </c>
      <c r="AA109" t="s">
        <v>97</v>
      </c>
      <c r="AB109">
        <v>4</v>
      </c>
      <c r="AO109" t="str">
        <f t="shared" si="9"/>
        <v>41-60</v>
      </c>
      <c r="BD109">
        <v>2</v>
      </c>
      <c r="BF109" cm="1">
        <f t="array" ref="BF109">CORREL(J109:J1109,S109:S1109)</f>
        <v>-0.0318636915053003</v>
      </c>
      <c r="BH109">
        <v>8</v>
      </c>
      <c r="BI109">
        <f t="shared" si="6"/>
        <v>0.25</v>
      </c>
      <c r="BJ109">
        <f t="shared" si="7"/>
        <v>32</v>
      </c>
    </row>
    <row r="110" spans="1:62">
      <c r="A110" s="1">
        <v>860441071</v>
      </c>
      <c r="B110">
        <v>30</v>
      </c>
      <c r="C110" t="s">
        <v>59</v>
      </c>
      <c r="D110" t="s">
        <v>60</v>
      </c>
      <c r="E110" t="s">
        <v>103</v>
      </c>
      <c r="F110" t="s">
        <v>87</v>
      </c>
      <c r="G110" t="s">
        <v>60</v>
      </c>
      <c r="H110" t="s">
        <v>245</v>
      </c>
      <c r="I110" t="s">
        <v>124</v>
      </c>
      <c r="J110" s="2">
        <v>467.58</v>
      </c>
      <c r="K110">
        <v>10</v>
      </c>
      <c r="L110" t="s">
        <v>65</v>
      </c>
      <c r="M110">
        <v>1</v>
      </c>
      <c r="N110">
        <v>2</v>
      </c>
      <c r="O110">
        <v>0</v>
      </c>
      <c r="P110" t="s">
        <v>66</v>
      </c>
      <c r="Q110" t="s">
        <v>67</v>
      </c>
      <c r="R110">
        <v>1</v>
      </c>
      <c r="S110">
        <v>6</v>
      </c>
      <c r="T110" t="s">
        <v>84</v>
      </c>
      <c r="U110" t="s">
        <v>105</v>
      </c>
      <c r="V110" t="s">
        <v>81</v>
      </c>
      <c r="W110" s="3">
        <v>45397</v>
      </c>
      <c r="X110" t="b">
        <v>1</v>
      </c>
      <c r="Y110" t="b">
        <v>1</v>
      </c>
      <c r="Z110" t="s">
        <v>82</v>
      </c>
      <c r="AA110" t="s">
        <v>83</v>
      </c>
      <c r="AB110">
        <v>7</v>
      </c>
      <c r="AO110" t="str">
        <f t="shared" si="9"/>
        <v>26-40</v>
      </c>
      <c r="BD110">
        <v>10</v>
      </c>
      <c r="BF110" cm="1">
        <f t="array" ref="BF110">CORREL(J110:J1110,S110:S1110)</f>
        <v>-0.0310557669434932</v>
      </c>
      <c r="BH110">
        <v>6</v>
      </c>
      <c r="BI110">
        <f t="shared" si="6"/>
        <v>1.66666666666667</v>
      </c>
      <c r="BJ110">
        <f t="shared" si="7"/>
        <v>3.6</v>
      </c>
    </row>
    <row r="111" spans="1:62">
      <c r="A111" s="4" t="s">
        <v>246</v>
      </c>
      <c r="B111">
        <v>39</v>
      </c>
      <c r="C111" t="s">
        <v>59</v>
      </c>
      <c r="D111" t="s">
        <v>60</v>
      </c>
      <c r="E111" t="s">
        <v>98</v>
      </c>
      <c r="F111" t="s">
        <v>62</v>
      </c>
      <c r="G111" t="s">
        <v>74</v>
      </c>
      <c r="H111" t="s">
        <v>247</v>
      </c>
      <c r="I111" t="s">
        <v>107</v>
      </c>
      <c r="J111" s="2">
        <v>247.51</v>
      </c>
      <c r="K111">
        <v>10</v>
      </c>
      <c r="L111" t="s">
        <v>65</v>
      </c>
      <c r="M111">
        <v>2</v>
      </c>
      <c r="N111">
        <v>1</v>
      </c>
      <c r="O111">
        <v>2</v>
      </c>
      <c r="P111" t="s">
        <v>84</v>
      </c>
      <c r="Q111" t="s">
        <v>67</v>
      </c>
      <c r="R111">
        <v>1</v>
      </c>
      <c r="S111">
        <v>8</v>
      </c>
      <c r="T111" t="s">
        <v>84</v>
      </c>
      <c r="U111" t="s">
        <v>68</v>
      </c>
      <c r="V111" t="s">
        <v>69</v>
      </c>
      <c r="W111" s="3">
        <v>45474</v>
      </c>
      <c r="X111" t="b">
        <v>1</v>
      </c>
      <c r="Y111" t="b">
        <v>0</v>
      </c>
      <c r="Z111" t="s">
        <v>92</v>
      </c>
      <c r="AA111" t="s">
        <v>83</v>
      </c>
      <c r="AB111">
        <v>2</v>
      </c>
      <c r="AO111" t="str">
        <f t="shared" si="9"/>
        <v>26-40</v>
      </c>
      <c r="BD111">
        <v>10</v>
      </c>
      <c r="BF111" cm="1">
        <f t="array" ref="BF111">CORREL(J111:J1111,S111:S1111)</f>
        <v>-0.0313991906599385</v>
      </c>
      <c r="BH111">
        <v>8</v>
      </c>
      <c r="BI111">
        <f t="shared" si="6"/>
        <v>1.25</v>
      </c>
      <c r="BJ111">
        <f t="shared" si="7"/>
        <v>6.4</v>
      </c>
    </row>
    <row r="112" spans="1:62">
      <c r="A112" s="1">
        <v>701081493</v>
      </c>
      <c r="B112">
        <v>25</v>
      </c>
      <c r="C112" t="s">
        <v>59</v>
      </c>
      <c r="D112" t="s">
        <v>60</v>
      </c>
      <c r="E112" t="s">
        <v>86</v>
      </c>
      <c r="F112" t="s">
        <v>75</v>
      </c>
      <c r="G112" t="s">
        <v>74</v>
      </c>
      <c r="H112" t="s">
        <v>248</v>
      </c>
      <c r="I112" t="s">
        <v>89</v>
      </c>
      <c r="J112" s="2">
        <v>365.1</v>
      </c>
      <c r="K112">
        <v>3</v>
      </c>
      <c r="L112" t="s">
        <v>78</v>
      </c>
      <c r="M112">
        <v>2</v>
      </c>
      <c r="N112">
        <v>3</v>
      </c>
      <c r="O112">
        <v>0</v>
      </c>
      <c r="P112" t="s">
        <v>66</v>
      </c>
      <c r="Q112" t="s">
        <v>80</v>
      </c>
      <c r="R112">
        <v>1</v>
      </c>
      <c r="S112">
        <v>3</v>
      </c>
      <c r="T112" t="s">
        <v>74</v>
      </c>
      <c r="U112" t="s">
        <v>105</v>
      </c>
      <c r="V112" t="s">
        <v>91</v>
      </c>
      <c r="W112" s="3">
        <v>45534</v>
      </c>
      <c r="X112" t="b">
        <v>0</v>
      </c>
      <c r="Y112" t="b">
        <v>1</v>
      </c>
      <c r="Z112" t="s">
        <v>82</v>
      </c>
      <c r="AA112" t="s">
        <v>71</v>
      </c>
      <c r="AB112">
        <v>1</v>
      </c>
      <c r="AO112" t="str">
        <f t="shared" si="9"/>
        <v>18-25</v>
      </c>
      <c r="BD112">
        <v>3</v>
      </c>
      <c r="BF112" cm="1">
        <f t="array" ref="BF112">CORREL(J112:J1112,S112:S1112)</f>
        <v>-0.0312141126032667</v>
      </c>
      <c r="BH112">
        <v>3</v>
      </c>
      <c r="BI112">
        <f t="shared" si="6"/>
        <v>1</v>
      </c>
      <c r="BJ112">
        <f t="shared" si="7"/>
        <v>3</v>
      </c>
    </row>
    <row r="113" spans="1:62">
      <c r="A113" s="1">
        <v>462308307</v>
      </c>
      <c r="B113">
        <v>38</v>
      </c>
      <c r="C113" t="s">
        <v>59</v>
      </c>
      <c r="D113" t="s">
        <v>74</v>
      </c>
      <c r="E113" t="s">
        <v>86</v>
      </c>
      <c r="F113" t="s">
        <v>87</v>
      </c>
      <c r="G113" t="s">
        <v>60</v>
      </c>
      <c r="H113" t="s">
        <v>249</v>
      </c>
      <c r="I113" t="s">
        <v>122</v>
      </c>
      <c r="J113" s="2">
        <v>485.42</v>
      </c>
      <c r="K113">
        <v>5</v>
      </c>
      <c r="L113" t="s">
        <v>85</v>
      </c>
      <c r="M113">
        <v>1</v>
      </c>
      <c r="N113">
        <v>2</v>
      </c>
      <c r="O113">
        <v>2</v>
      </c>
      <c r="P113" t="s">
        <v>74</v>
      </c>
      <c r="Q113" t="s">
        <v>67</v>
      </c>
      <c r="R113">
        <v>1</v>
      </c>
      <c r="S113">
        <v>6</v>
      </c>
      <c r="T113" t="s">
        <v>74</v>
      </c>
      <c r="U113" t="s">
        <v>105</v>
      </c>
      <c r="V113" t="s">
        <v>96</v>
      </c>
      <c r="W113" s="3">
        <v>45609</v>
      </c>
      <c r="X113" t="b">
        <v>1</v>
      </c>
      <c r="Y113" t="b">
        <v>0</v>
      </c>
      <c r="Z113" t="s">
        <v>82</v>
      </c>
      <c r="AA113" t="s">
        <v>71</v>
      </c>
      <c r="AB113">
        <v>4</v>
      </c>
      <c r="AO113" t="str">
        <f t="shared" si="9"/>
        <v>26-40</v>
      </c>
      <c r="BD113">
        <v>5</v>
      </c>
      <c r="BF113" cm="1">
        <f t="array" ref="BF113">CORREL(J113:J1113,S113:S1113)</f>
        <v>-0.0305597530064558</v>
      </c>
      <c r="BH113">
        <v>6</v>
      </c>
      <c r="BI113">
        <f t="shared" si="6"/>
        <v>0.833333333333333</v>
      </c>
      <c r="BJ113">
        <f t="shared" si="7"/>
        <v>7.2</v>
      </c>
    </row>
    <row r="114" spans="1:62">
      <c r="A114" s="1">
        <v>744310242</v>
      </c>
      <c r="B114">
        <v>41</v>
      </c>
      <c r="C114" t="s">
        <v>59</v>
      </c>
      <c r="D114" t="s">
        <v>60</v>
      </c>
      <c r="E114" t="s">
        <v>98</v>
      </c>
      <c r="F114" t="s">
        <v>62</v>
      </c>
      <c r="G114" t="s">
        <v>74</v>
      </c>
      <c r="H114" t="s">
        <v>250</v>
      </c>
      <c r="I114" t="s">
        <v>122</v>
      </c>
      <c r="J114" s="2">
        <v>250.54</v>
      </c>
      <c r="K114">
        <v>4</v>
      </c>
      <c r="L114" t="s">
        <v>78</v>
      </c>
      <c r="M114">
        <v>3</v>
      </c>
      <c r="N114">
        <v>3</v>
      </c>
      <c r="O114">
        <v>1</v>
      </c>
      <c r="P114" t="s">
        <v>74</v>
      </c>
      <c r="Q114" t="s">
        <v>80</v>
      </c>
      <c r="R114">
        <v>2</v>
      </c>
      <c r="S114">
        <v>10</v>
      </c>
      <c r="T114" t="s">
        <v>66</v>
      </c>
      <c r="U114" t="s">
        <v>105</v>
      </c>
      <c r="V114" t="s">
        <v>69</v>
      </c>
      <c r="W114" s="3">
        <v>45653</v>
      </c>
      <c r="X114" t="b">
        <v>0</v>
      </c>
      <c r="Y114" t="b">
        <v>0</v>
      </c>
      <c r="Z114" t="s">
        <v>82</v>
      </c>
      <c r="AA114" t="s">
        <v>71</v>
      </c>
      <c r="AB114">
        <v>3</v>
      </c>
      <c r="AO114" t="str">
        <f t="shared" si="9"/>
        <v>41-60</v>
      </c>
      <c r="BD114">
        <v>4</v>
      </c>
      <c r="BF114" cm="1">
        <f t="array" ref="BF114">CORREL(J114:J1114,S114:S1114)</f>
        <v>-0.0309399096500892</v>
      </c>
      <c r="BH114">
        <v>10</v>
      </c>
      <c r="BI114">
        <f t="shared" si="6"/>
        <v>0.4</v>
      </c>
      <c r="BJ114">
        <f t="shared" si="7"/>
        <v>25</v>
      </c>
    </row>
    <row r="115" spans="1:62">
      <c r="A115" s="1">
        <v>782726417</v>
      </c>
      <c r="B115">
        <v>49</v>
      </c>
      <c r="C115" t="s">
        <v>59</v>
      </c>
      <c r="D115" t="s">
        <v>60</v>
      </c>
      <c r="E115" t="s">
        <v>103</v>
      </c>
      <c r="F115" t="s">
        <v>75</v>
      </c>
      <c r="G115" t="s">
        <v>74</v>
      </c>
      <c r="H115" t="s">
        <v>148</v>
      </c>
      <c r="I115" t="s">
        <v>209</v>
      </c>
      <c r="J115" s="2">
        <v>163.14</v>
      </c>
      <c r="K115">
        <v>5</v>
      </c>
      <c r="L115" t="s">
        <v>65</v>
      </c>
      <c r="M115">
        <v>5</v>
      </c>
      <c r="N115">
        <v>4</v>
      </c>
      <c r="O115">
        <v>0</v>
      </c>
      <c r="P115" t="s">
        <v>84</v>
      </c>
      <c r="Q115" t="s">
        <v>67</v>
      </c>
      <c r="R115">
        <v>1</v>
      </c>
      <c r="S115">
        <v>2</v>
      </c>
      <c r="T115" t="s">
        <v>66</v>
      </c>
      <c r="U115" t="s">
        <v>105</v>
      </c>
      <c r="V115" t="s">
        <v>91</v>
      </c>
      <c r="W115" s="3">
        <v>45511</v>
      </c>
      <c r="X115" t="b">
        <v>1</v>
      </c>
      <c r="Y115" t="b">
        <v>1</v>
      </c>
      <c r="Z115" t="s">
        <v>102</v>
      </c>
      <c r="AA115" t="s">
        <v>71</v>
      </c>
      <c r="AB115">
        <v>1</v>
      </c>
      <c r="AO115" t="str">
        <f t="shared" si="9"/>
        <v>41-60</v>
      </c>
      <c r="BD115">
        <v>5</v>
      </c>
      <c r="BF115" cm="1">
        <f t="array" ref="BF115">CORREL(J115:J1115,S115:S1115)</f>
        <v>-0.030670748757221</v>
      </c>
      <c r="BH115">
        <v>2</v>
      </c>
      <c r="BI115">
        <f t="shared" si="6"/>
        <v>2.5</v>
      </c>
      <c r="BJ115">
        <f t="shared" si="7"/>
        <v>0.8</v>
      </c>
    </row>
    <row r="116" spans="1:62">
      <c r="A116" s="1">
        <v>137924356</v>
      </c>
      <c r="B116">
        <v>21</v>
      </c>
      <c r="C116" t="s">
        <v>73</v>
      </c>
      <c r="D116" t="s">
        <v>74</v>
      </c>
      <c r="E116" t="s">
        <v>103</v>
      </c>
      <c r="F116" t="s">
        <v>62</v>
      </c>
      <c r="G116" t="s">
        <v>60</v>
      </c>
      <c r="H116" t="s">
        <v>251</v>
      </c>
      <c r="I116" t="s">
        <v>64</v>
      </c>
      <c r="J116" s="2">
        <v>162.31</v>
      </c>
      <c r="K116">
        <v>8</v>
      </c>
      <c r="L116" t="s">
        <v>78</v>
      </c>
      <c r="M116">
        <v>5</v>
      </c>
      <c r="N116">
        <v>1</v>
      </c>
      <c r="O116">
        <v>1</v>
      </c>
      <c r="P116" t="s">
        <v>74</v>
      </c>
      <c r="Q116" t="s">
        <v>109</v>
      </c>
      <c r="R116">
        <v>1</v>
      </c>
      <c r="S116">
        <v>2</v>
      </c>
      <c r="T116" t="s">
        <v>79</v>
      </c>
      <c r="U116" t="s">
        <v>68</v>
      </c>
      <c r="V116" t="s">
        <v>69</v>
      </c>
      <c r="W116" s="3">
        <v>45570</v>
      </c>
      <c r="X116" t="b">
        <v>0</v>
      </c>
      <c r="Y116" t="b">
        <v>0</v>
      </c>
      <c r="Z116" t="s">
        <v>70</v>
      </c>
      <c r="AA116" t="s">
        <v>71</v>
      </c>
      <c r="AB116">
        <v>11</v>
      </c>
      <c r="AO116" t="str">
        <f t="shared" si="9"/>
        <v>18-25</v>
      </c>
      <c r="BD116">
        <v>8</v>
      </c>
      <c r="BF116" cm="1">
        <f t="array" ref="BF116">CORREL(J116:J1116,S116:S1116)</f>
        <v>-0.0318619966034687</v>
      </c>
      <c r="BH116">
        <v>2</v>
      </c>
      <c r="BI116">
        <f t="shared" si="6"/>
        <v>4</v>
      </c>
      <c r="BJ116">
        <f t="shared" si="7"/>
        <v>0.5</v>
      </c>
    </row>
    <row r="117" spans="1:62">
      <c r="A117" s="4" t="s">
        <v>252</v>
      </c>
      <c r="B117">
        <v>37</v>
      </c>
      <c r="C117" t="s">
        <v>73</v>
      </c>
      <c r="D117" t="s">
        <v>60</v>
      </c>
      <c r="E117" t="s">
        <v>98</v>
      </c>
      <c r="F117" t="s">
        <v>87</v>
      </c>
      <c r="G117" t="s">
        <v>74</v>
      </c>
      <c r="H117" t="s">
        <v>253</v>
      </c>
      <c r="I117" t="s">
        <v>89</v>
      </c>
      <c r="J117" s="2">
        <v>328.21</v>
      </c>
      <c r="K117">
        <v>7</v>
      </c>
      <c r="L117" t="s">
        <v>65</v>
      </c>
      <c r="M117">
        <v>5</v>
      </c>
      <c r="N117">
        <v>5</v>
      </c>
      <c r="O117">
        <v>2</v>
      </c>
      <c r="P117" t="s">
        <v>84</v>
      </c>
      <c r="Q117" t="s">
        <v>80</v>
      </c>
      <c r="R117">
        <v>2</v>
      </c>
      <c r="S117">
        <v>2</v>
      </c>
      <c r="T117" t="s">
        <v>84</v>
      </c>
      <c r="U117" t="s">
        <v>90</v>
      </c>
      <c r="V117" t="s">
        <v>69</v>
      </c>
      <c r="W117" s="3">
        <v>45336</v>
      </c>
      <c r="X117" t="b">
        <v>0</v>
      </c>
      <c r="Y117" t="b">
        <v>0</v>
      </c>
      <c r="Z117" t="s">
        <v>70</v>
      </c>
      <c r="AA117" t="s">
        <v>71</v>
      </c>
      <c r="AB117">
        <v>12</v>
      </c>
      <c r="AO117" t="str">
        <f t="shared" si="9"/>
        <v>26-40</v>
      </c>
      <c r="BD117">
        <v>7</v>
      </c>
      <c r="BF117" cm="1">
        <f t="array" ref="BF117">CORREL(J117:J1117,S117:S1117)</f>
        <v>-0.033067778519213</v>
      </c>
      <c r="BH117">
        <v>2</v>
      </c>
      <c r="BI117">
        <f t="shared" si="6"/>
        <v>3.5</v>
      </c>
      <c r="BJ117">
        <f t="shared" si="7"/>
        <v>0.571428571428571</v>
      </c>
    </row>
    <row r="118" spans="1:62">
      <c r="A118" s="1">
        <v>795925396</v>
      </c>
      <c r="B118">
        <v>30</v>
      </c>
      <c r="C118" t="s">
        <v>59</v>
      </c>
      <c r="D118" t="s">
        <v>74</v>
      </c>
      <c r="E118" t="s">
        <v>61</v>
      </c>
      <c r="F118" t="s">
        <v>87</v>
      </c>
      <c r="G118" t="s">
        <v>74</v>
      </c>
      <c r="H118" t="s">
        <v>254</v>
      </c>
      <c r="I118" t="s">
        <v>113</v>
      </c>
      <c r="J118" s="2">
        <v>268.59</v>
      </c>
      <c r="K118">
        <v>4</v>
      </c>
      <c r="L118" t="s">
        <v>85</v>
      </c>
      <c r="M118">
        <v>3</v>
      </c>
      <c r="N118">
        <v>3</v>
      </c>
      <c r="O118">
        <v>1</v>
      </c>
      <c r="P118" t="s">
        <v>74</v>
      </c>
      <c r="Q118" t="s">
        <v>109</v>
      </c>
      <c r="R118">
        <v>1</v>
      </c>
      <c r="S118">
        <v>1</v>
      </c>
      <c r="T118" t="s">
        <v>79</v>
      </c>
      <c r="U118" t="s">
        <v>105</v>
      </c>
      <c r="V118" t="s">
        <v>91</v>
      </c>
      <c r="W118" s="3">
        <v>45387</v>
      </c>
      <c r="X118" t="b">
        <v>1</v>
      </c>
      <c r="Y118" t="b">
        <v>1</v>
      </c>
      <c r="Z118" t="s">
        <v>70</v>
      </c>
      <c r="AA118" t="s">
        <v>83</v>
      </c>
      <c r="AB118">
        <v>3</v>
      </c>
      <c r="AO118" t="str">
        <f t="shared" si="9"/>
        <v>26-40</v>
      </c>
      <c r="BD118">
        <v>4</v>
      </c>
      <c r="BF118" cm="1">
        <f t="array" ref="BF118">CORREL(J118:J1118,S118:S1118)</f>
        <v>-0.0325280911654593</v>
      </c>
      <c r="BH118">
        <v>1</v>
      </c>
      <c r="BI118">
        <f t="shared" si="6"/>
        <v>4</v>
      </c>
      <c r="BJ118">
        <f t="shared" si="7"/>
        <v>0.25</v>
      </c>
    </row>
    <row r="119" spans="1:62">
      <c r="A119" s="1">
        <v>399524459</v>
      </c>
      <c r="B119">
        <v>18</v>
      </c>
      <c r="C119" t="s">
        <v>59</v>
      </c>
      <c r="D119" t="s">
        <v>74</v>
      </c>
      <c r="E119" t="s">
        <v>103</v>
      </c>
      <c r="F119" t="s">
        <v>75</v>
      </c>
      <c r="G119" t="s">
        <v>74</v>
      </c>
      <c r="H119" t="s">
        <v>255</v>
      </c>
      <c r="I119" t="s">
        <v>131</v>
      </c>
      <c r="J119" s="2">
        <v>257.37</v>
      </c>
      <c r="K119">
        <v>7</v>
      </c>
      <c r="L119" t="s">
        <v>85</v>
      </c>
      <c r="M119">
        <v>3</v>
      </c>
      <c r="N119">
        <v>3</v>
      </c>
      <c r="O119">
        <v>0</v>
      </c>
      <c r="P119" t="s">
        <v>79</v>
      </c>
      <c r="Q119" t="s">
        <v>109</v>
      </c>
      <c r="R119">
        <v>2</v>
      </c>
      <c r="S119">
        <v>5</v>
      </c>
      <c r="T119" t="s">
        <v>79</v>
      </c>
      <c r="U119" t="s">
        <v>90</v>
      </c>
      <c r="V119" t="s">
        <v>81</v>
      </c>
      <c r="W119" s="3">
        <v>45323</v>
      </c>
      <c r="X119" t="b">
        <v>1</v>
      </c>
      <c r="Y119" t="b">
        <v>0</v>
      </c>
      <c r="Z119" t="s">
        <v>82</v>
      </c>
      <c r="AA119" t="s">
        <v>97</v>
      </c>
      <c r="AB119">
        <v>13</v>
      </c>
      <c r="AO119" t="str">
        <f t="shared" si="9"/>
        <v>18-25</v>
      </c>
      <c r="BD119">
        <v>7</v>
      </c>
      <c r="BF119" cm="1">
        <f t="array" ref="BF119">CORREL(J119:J1119,S119:S1119)</f>
        <v>-0.0326434882716672</v>
      </c>
      <c r="BH119">
        <v>5</v>
      </c>
      <c r="BI119">
        <f t="shared" si="6"/>
        <v>1.4</v>
      </c>
      <c r="BJ119">
        <f t="shared" si="7"/>
        <v>3.57142857142857</v>
      </c>
    </row>
    <row r="120" spans="1:62">
      <c r="A120" s="1">
        <v>679357964</v>
      </c>
      <c r="B120">
        <v>41</v>
      </c>
      <c r="C120" t="s">
        <v>59</v>
      </c>
      <c r="D120" t="s">
        <v>60</v>
      </c>
      <c r="E120" t="s">
        <v>86</v>
      </c>
      <c r="F120" t="s">
        <v>75</v>
      </c>
      <c r="G120" t="s">
        <v>74</v>
      </c>
      <c r="H120" t="s">
        <v>256</v>
      </c>
      <c r="I120" t="s">
        <v>89</v>
      </c>
      <c r="J120" s="2">
        <v>205.49</v>
      </c>
      <c r="K120">
        <v>4</v>
      </c>
      <c r="L120" t="s">
        <v>78</v>
      </c>
      <c r="M120">
        <v>5</v>
      </c>
      <c r="N120">
        <v>3</v>
      </c>
      <c r="O120">
        <v>2</v>
      </c>
      <c r="P120" t="s">
        <v>84</v>
      </c>
      <c r="Q120" t="s">
        <v>67</v>
      </c>
      <c r="R120">
        <v>2</v>
      </c>
      <c r="S120">
        <v>2</v>
      </c>
      <c r="T120" t="s">
        <v>74</v>
      </c>
      <c r="U120" t="s">
        <v>68</v>
      </c>
      <c r="V120" t="s">
        <v>110</v>
      </c>
      <c r="W120" s="3">
        <v>45605</v>
      </c>
      <c r="X120" t="b">
        <v>1</v>
      </c>
      <c r="Y120" t="b">
        <v>0</v>
      </c>
      <c r="Z120" t="s">
        <v>70</v>
      </c>
      <c r="AA120" t="s">
        <v>97</v>
      </c>
      <c r="AB120">
        <v>11</v>
      </c>
      <c r="AO120" t="str">
        <f t="shared" si="9"/>
        <v>41-60</v>
      </c>
      <c r="BD120">
        <v>4</v>
      </c>
      <c r="BF120" cm="1">
        <f t="array" ref="BF120">CORREL(J120:J1120,S120:S1120)</f>
        <v>-0.0326683398595434</v>
      </c>
      <c r="BH120">
        <v>2</v>
      </c>
      <c r="BI120">
        <f t="shared" si="6"/>
        <v>2</v>
      </c>
      <c r="BJ120">
        <f t="shared" si="7"/>
        <v>1</v>
      </c>
    </row>
    <row r="121" spans="1:62">
      <c r="A121" s="1">
        <v>268282720</v>
      </c>
      <c r="B121">
        <v>40</v>
      </c>
      <c r="C121" t="s">
        <v>73</v>
      </c>
      <c r="D121" t="s">
        <v>74</v>
      </c>
      <c r="E121" t="s">
        <v>103</v>
      </c>
      <c r="F121" t="s">
        <v>87</v>
      </c>
      <c r="G121" t="s">
        <v>74</v>
      </c>
      <c r="H121" t="s">
        <v>257</v>
      </c>
      <c r="I121" t="s">
        <v>115</v>
      </c>
      <c r="J121" s="2">
        <v>407.91</v>
      </c>
      <c r="K121">
        <v>7</v>
      </c>
      <c r="L121" t="s">
        <v>78</v>
      </c>
      <c r="M121">
        <v>2</v>
      </c>
      <c r="N121">
        <v>5</v>
      </c>
      <c r="O121">
        <v>0</v>
      </c>
      <c r="P121" t="s">
        <v>84</v>
      </c>
      <c r="Q121" t="s">
        <v>80</v>
      </c>
      <c r="R121">
        <v>0</v>
      </c>
      <c r="S121">
        <v>5</v>
      </c>
      <c r="T121" t="s">
        <v>84</v>
      </c>
      <c r="U121" t="s">
        <v>68</v>
      </c>
      <c r="V121" t="s">
        <v>96</v>
      </c>
      <c r="W121" s="3">
        <v>45460</v>
      </c>
      <c r="X121" t="b">
        <v>1</v>
      </c>
      <c r="Y121" t="b">
        <v>1</v>
      </c>
      <c r="Z121" t="s">
        <v>70</v>
      </c>
      <c r="AA121" t="s">
        <v>83</v>
      </c>
      <c r="AB121">
        <v>14</v>
      </c>
      <c r="AO121" t="str">
        <f t="shared" si="9"/>
        <v>26-40</v>
      </c>
      <c r="BD121">
        <v>7</v>
      </c>
      <c r="BF121" cm="1">
        <f t="array" ref="BF121">CORREL(J121:J1121,S121:S1121)</f>
        <v>-0.033421216112495</v>
      </c>
      <c r="BH121">
        <v>5</v>
      </c>
      <c r="BI121">
        <f t="shared" si="6"/>
        <v>1.4</v>
      </c>
      <c r="BJ121">
        <f t="shared" si="7"/>
        <v>3.57142857142857</v>
      </c>
    </row>
    <row r="122" spans="1:62">
      <c r="A122" s="1">
        <v>574107415</v>
      </c>
      <c r="B122">
        <v>33</v>
      </c>
      <c r="C122" t="s">
        <v>59</v>
      </c>
      <c r="D122" t="s">
        <v>74</v>
      </c>
      <c r="E122" t="s">
        <v>103</v>
      </c>
      <c r="F122" t="s">
        <v>62</v>
      </c>
      <c r="G122" t="s">
        <v>74</v>
      </c>
      <c r="H122" t="s">
        <v>258</v>
      </c>
      <c r="I122" t="s">
        <v>77</v>
      </c>
      <c r="J122" s="2">
        <v>254.73</v>
      </c>
      <c r="K122">
        <v>6</v>
      </c>
      <c r="L122" t="s">
        <v>85</v>
      </c>
      <c r="M122">
        <v>4</v>
      </c>
      <c r="N122">
        <v>3</v>
      </c>
      <c r="O122">
        <v>0</v>
      </c>
      <c r="P122" t="s">
        <v>79</v>
      </c>
      <c r="Q122" t="s">
        <v>109</v>
      </c>
      <c r="R122">
        <v>0</v>
      </c>
      <c r="S122">
        <v>3</v>
      </c>
      <c r="T122" t="s">
        <v>84</v>
      </c>
      <c r="U122" t="s">
        <v>90</v>
      </c>
      <c r="V122" t="s">
        <v>96</v>
      </c>
      <c r="W122" s="3">
        <v>45444</v>
      </c>
      <c r="X122" t="b">
        <v>1</v>
      </c>
      <c r="Y122" t="b">
        <v>1</v>
      </c>
      <c r="Z122" t="s">
        <v>92</v>
      </c>
      <c r="AA122" t="s">
        <v>97</v>
      </c>
      <c r="AB122">
        <v>3</v>
      </c>
      <c r="AO122" t="str">
        <f t="shared" si="9"/>
        <v>26-40</v>
      </c>
      <c r="BD122">
        <v>6</v>
      </c>
      <c r="BF122" cm="1">
        <f t="array" ref="BF122">CORREL(J122:J1122,S122:S1122)</f>
        <v>-0.0332430083439885</v>
      </c>
      <c r="BH122">
        <v>3</v>
      </c>
      <c r="BI122">
        <f t="shared" si="6"/>
        <v>2</v>
      </c>
      <c r="BJ122">
        <f t="shared" si="7"/>
        <v>1.5</v>
      </c>
    </row>
    <row r="123" spans="1:62">
      <c r="A123" s="1">
        <v>629898214</v>
      </c>
      <c r="B123">
        <v>30</v>
      </c>
      <c r="C123" t="s">
        <v>59</v>
      </c>
      <c r="D123" t="s">
        <v>60</v>
      </c>
      <c r="E123" t="s">
        <v>103</v>
      </c>
      <c r="F123" t="s">
        <v>62</v>
      </c>
      <c r="G123" t="s">
        <v>74</v>
      </c>
      <c r="H123" t="s">
        <v>259</v>
      </c>
      <c r="I123" t="s">
        <v>171</v>
      </c>
      <c r="J123" s="2">
        <v>397.78</v>
      </c>
      <c r="K123">
        <v>12</v>
      </c>
      <c r="L123" t="s">
        <v>85</v>
      </c>
      <c r="M123">
        <v>3</v>
      </c>
      <c r="N123">
        <v>3</v>
      </c>
      <c r="O123">
        <v>1</v>
      </c>
      <c r="P123" t="s">
        <v>79</v>
      </c>
      <c r="Q123" t="s">
        <v>80</v>
      </c>
      <c r="R123">
        <v>2</v>
      </c>
      <c r="S123">
        <v>7</v>
      </c>
      <c r="T123" t="s">
        <v>79</v>
      </c>
      <c r="U123" t="s">
        <v>90</v>
      </c>
      <c r="V123" t="s">
        <v>81</v>
      </c>
      <c r="W123" s="3">
        <v>45559</v>
      </c>
      <c r="X123" t="b">
        <v>0</v>
      </c>
      <c r="Y123" t="b">
        <v>1</v>
      </c>
      <c r="Z123" t="s">
        <v>92</v>
      </c>
      <c r="AA123" t="s">
        <v>71</v>
      </c>
      <c r="AB123">
        <v>11</v>
      </c>
      <c r="AO123" t="str">
        <f t="shared" si="9"/>
        <v>26-40</v>
      </c>
      <c r="BD123">
        <v>12</v>
      </c>
      <c r="BF123" cm="1">
        <f t="array" ref="BF123">CORREL(J123:J1123,S123:S1123)</f>
        <v>-0.0334009205122165</v>
      </c>
      <c r="BH123">
        <v>7</v>
      </c>
      <c r="BI123">
        <f t="shared" si="6"/>
        <v>1.71428571428571</v>
      </c>
      <c r="BJ123">
        <f t="shared" si="7"/>
        <v>4.08333333333333</v>
      </c>
    </row>
    <row r="124" spans="1:62">
      <c r="A124" s="1">
        <v>738272774</v>
      </c>
      <c r="B124">
        <v>33</v>
      </c>
      <c r="C124" t="s">
        <v>59</v>
      </c>
      <c r="D124" t="s">
        <v>74</v>
      </c>
      <c r="E124" t="s">
        <v>61</v>
      </c>
      <c r="F124" t="s">
        <v>62</v>
      </c>
      <c r="G124" t="s">
        <v>74</v>
      </c>
      <c r="H124" t="s">
        <v>260</v>
      </c>
      <c r="I124" t="s">
        <v>131</v>
      </c>
      <c r="J124" s="2">
        <v>305.29</v>
      </c>
      <c r="K124">
        <v>3</v>
      </c>
      <c r="L124" t="s">
        <v>85</v>
      </c>
      <c r="M124">
        <v>2</v>
      </c>
      <c r="N124">
        <v>3</v>
      </c>
      <c r="O124">
        <v>1</v>
      </c>
      <c r="P124" t="s">
        <v>79</v>
      </c>
      <c r="Q124" t="s">
        <v>109</v>
      </c>
      <c r="R124">
        <v>1</v>
      </c>
      <c r="S124">
        <v>8</v>
      </c>
      <c r="T124" t="s">
        <v>79</v>
      </c>
      <c r="U124" t="s">
        <v>105</v>
      </c>
      <c r="V124" t="s">
        <v>91</v>
      </c>
      <c r="W124" s="3">
        <v>45540</v>
      </c>
      <c r="X124" t="b">
        <v>1</v>
      </c>
      <c r="Y124" t="b">
        <v>1</v>
      </c>
      <c r="Z124" t="s">
        <v>92</v>
      </c>
      <c r="AA124" t="s">
        <v>83</v>
      </c>
      <c r="AB124">
        <v>10</v>
      </c>
      <c r="AO124" t="str">
        <f t="shared" si="9"/>
        <v>26-40</v>
      </c>
      <c r="BD124">
        <v>3</v>
      </c>
      <c r="BF124" cm="1">
        <f t="array" ref="BF124">CORREL(J124:J1124,S124:S1124)</f>
        <v>-0.0339899003656963</v>
      </c>
      <c r="BH124">
        <v>8</v>
      </c>
      <c r="BI124">
        <f t="shared" si="6"/>
        <v>0.375</v>
      </c>
      <c r="BJ124">
        <f t="shared" si="7"/>
        <v>21.3333333333333</v>
      </c>
    </row>
    <row r="125" spans="1:62">
      <c r="A125" s="1">
        <v>196431879</v>
      </c>
      <c r="B125">
        <v>45</v>
      </c>
      <c r="C125" t="s">
        <v>73</v>
      </c>
      <c r="D125" t="s">
        <v>60</v>
      </c>
      <c r="E125" t="s">
        <v>103</v>
      </c>
      <c r="F125" t="s">
        <v>75</v>
      </c>
      <c r="G125" t="s">
        <v>74</v>
      </c>
      <c r="H125" t="s">
        <v>261</v>
      </c>
      <c r="I125" t="s">
        <v>77</v>
      </c>
      <c r="J125" s="2">
        <v>257.86</v>
      </c>
      <c r="K125">
        <v>6</v>
      </c>
      <c r="L125" t="s">
        <v>85</v>
      </c>
      <c r="M125">
        <v>2</v>
      </c>
      <c r="N125">
        <v>2</v>
      </c>
      <c r="O125">
        <v>0</v>
      </c>
      <c r="P125" t="s">
        <v>66</v>
      </c>
      <c r="Q125" t="s">
        <v>67</v>
      </c>
      <c r="R125">
        <v>0</v>
      </c>
      <c r="S125">
        <v>4</v>
      </c>
      <c r="T125" t="s">
        <v>74</v>
      </c>
      <c r="U125" t="s">
        <v>68</v>
      </c>
      <c r="V125" t="s">
        <v>81</v>
      </c>
      <c r="W125" s="3">
        <v>45455</v>
      </c>
      <c r="X125" t="b">
        <v>1</v>
      </c>
      <c r="Y125" t="b">
        <v>1</v>
      </c>
      <c r="Z125" t="s">
        <v>70</v>
      </c>
      <c r="AA125" t="s">
        <v>97</v>
      </c>
      <c r="AB125">
        <v>1</v>
      </c>
      <c r="AO125" t="str">
        <f t="shared" si="9"/>
        <v>41-60</v>
      </c>
      <c r="BD125">
        <v>6</v>
      </c>
      <c r="BF125" cm="1">
        <f t="array" ref="BF125">CORREL(J125:J1125,S125:S1125)</f>
        <v>-0.034247099451381</v>
      </c>
      <c r="BH125">
        <v>4</v>
      </c>
      <c r="BI125">
        <f t="shared" si="6"/>
        <v>1.5</v>
      </c>
      <c r="BJ125">
        <f t="shared" si="7"/>
        <v>2.66666666666667</v>
      </c>
    </row>
    <row r="126" spans="1:62">
      <c r="A126" s="1">
        <v>573453921</v>
      </c>
      <c r="B126">
        <v>42</v>
      </c>
      <c r="C126" t="s">
        <v>59</v>
      </c>
      <c r="D126" t="s">
        <v>74</v>
      </c>
      <c r="E126" t="s">
        <v>86</v>
      </c>
      <c r="F126" t="s">
        <v>75</v>
      </c>
      <c r="G126" t="s">
        <v>60</v>
      </c>
      <c r="H126" t="s">
        <v>262</v>
      </c>
      <c r="I126" t="s">
        <v>209</v>
      </c>
      <c r="J126" s="2">
        <v>393.45</v>
      </c>
      <c r="K126">
        <v>12</v>
      </c>
      <c r="L126" t="s">
        <v>78</v>
      </c>
      <c r="M126">
        <v>3</v>
      </c>
      <c r="N126">
        <v>1</v>
      </c>
      <c r="O126">
        <v>0</v>
      </c>
      <c r="P126" t="s">
        <v>84</v>
      </c>
      <c r="Q126" t="s">
        <v>67</v>
      </c>
      <c r="R126">
        <v>2</v>
      </c>
      <c r="S126">
        <v>10</v>
      </c>
      <c r="T126" t="s">
        <v>79</v>
      </c>
      <c r="U126" t="s">
        <v>105</v>
      </c>
      <c r="V126" t="s">
        <v>69</v>
      </c>
      <c r="W126" s="3">
        <v>45571</v>
      </c>
      <c r="X126" t="b">
        <v>0</v>
      </c>
      <c r="Y126" t="b">
        <v>0</v>
      </c>
      <c r="Z126" t="s">
        <v>70</v>
      </c>
      <c r="AA126" t="s">
        <v>97</v>
      </c>
      <c r="AB126">
        <v>12</v>
      </c>
      <c r="AO126" t="str">
        <f t="shared" si="9"/>
        <v>41-60</v>
      </c>
      <c r="BD126">
        <v>12</v>
      </c>
      <c r="BF126" cm="1">
        <f t="array" ref="BF126">CORREL(J126:J1126,S126:S1126)</f>
        <v>-0.0343235155258154</v>
      </c>
      <c r="BH126">
        <v>10</v>
      </c>
      <c r="BI126">
        <f t="shared" si="6"/>
        <v>1.2</v>
      </c>
      <c r="BJ126">
        <f t="shared" si="7"/>
        <v>8.33333333333333</v>
      </c>
    </row>
    <row r="127" spans="1:62">
      <c r="A127" s="1">
        <v>988176731</v>
      </c>
      <c r="B127">
        <v>30</v>
      </c>
      <c r="C127" t="s">
        <v>73</v>
      </c>
      <c r="D127" t="s">
        <v>74</v>
      </c>
      <c r="E127" t="s">
        <v>61</v>
      </c>
      <c r="F127" t="s">
        <v>62</v>
      </c>
      <c r="G127" t="s">
        <v>60</v>
      </c>
      <c r="H127" t="s">
        <v>263</v>
      </c>
      <c r="I127" t="s">
        <v>147</v>
      </c>
      <c r="J127" s="2">
        <v>58.49</v>
      </c>
      <c r="K127">
        <v>6</v>
      </c>
      <c r="L127" t="s">
        <v>85</v>
      </c>
      <c r="M127">
        <v>2</v>
      </c>
      <c r="N127">
        <v>2</v>
      </c>
      <c r="O127">
        <v>0</v>
      </c>
      <c r="P127" t="s">
        <v>79</v>
      </c>
      <c r="Q127" t="s">
        <v>109</v>
      </c>
      <c r="R127">
        <v>0</v>
      </c>
      <c r="S127">
        <v>8</v>
      </c>
      <c r="T127" t="s">
        <v>74</v>
      </c>
      <c r="U127" t="s">
        <v>68</v>
      </c>
      <c r="V127" t="s">
        <v>96</v>
      </c>
      <c r="W127" s="3">
        <v>45502</v>
      </c>
      <c r="X127" t="b">
        <v>1</v>
      </c>
      <c r="Y127" t="b">
        <v>1</v>
      </c>
      <c r="Z127" t="s">
        <v>102</v>
      </c>
      <c r="AA127" t="s">
        <v>97</v>
      </c>
      <c r="AB127">
        <v>7</v>
      </c>
      <c r="AO127" t="str">
        <f t="shared" si="9"/>
        <v>26-40</v>
      </c>
      <c r="BD127">
        <v>6</v>
      </c>
      <c r="BF127" cm="1">
        <f t="array" ref="BF127">CORREL(J127:J1127,S127:S1127)</f>
        <v>-0.0360315138953478</v>
      </c>
      <c r="BH127">
        <v>8</v>
      </c>
      <c r="BI127">
        <f t="shared" si="6"/>
        <v>0.75</v>
      </c>
      <c r="BJ127">
        <f t="shared" si="7"/>
        <v>10.6666666666667</v>
      </c>
    </row>
    <row r="128" spans="1:62">
      <c r="A128" s="1">
        <v>317880864</v>
      </c>
      <c r="B128">
        <v>42</v>
      </c>
      <c r="C128" t="s">
        <v>73</v>
      </c>
      <c r="D128" t="s">
        <v>60</v>
      </c>
      <c r="E128" t="s">
        <v>86</v>
      </c>
      <c r="F128" t="s">
        <v>75</v>
      </c>
      <c r="G128" t="s">
        <v>60</v>
      </c>
      <c r="H128" t="s">
        <v>264</v>
      </c>
      <c r="I128" t="s">
        <v>174</v>
      </c>
      <c r="J128" s="2">
        <v>226.48</v>
      </c>
      <c r="K128">
        <v>11</v>
      </c>
      <c r="L128" t="s">
        <v>78</v>
      </c>
      <c r="M128">
        <v>5</v>
      </c>
      <c r="N128">
        <v>3</v>
      </c>
      <c r="O128">
        <v>2</v>
      </c>
      <c r="P128" t="s">
        <v>66</v>
      </c>
      <c r="Q128" t="s">
        <v>80</v>
      </c>
      <c r="R128">
        <v>2</v>
      </c>
      <c r="S128">
        <v>7</v>
      </c>
      <c r="T128" t="s">
        <v>74</v>
      </c>
      <c r="U128" t="s">
        <v>68</v>
      </c>
      <c r="V128" t="s">
        <v>91</v>
      </c>
      <c r="W128" s="3">
        <v>45583</v>
      </c>
      <c r="X128" t="b">
        <v>1</v>
      </c>
      <c r="Y128" t="b">
        <v>0</v>
      </c>
      <c r="Z128" t="s">
        <v>70</v>
      </c>
      <c r="AA128" t="s">
        <v>97</v>
      </c>
      <c r="AB128">
        <v>11</v>
      </c>
      <c r="AO128" t="str">
        <f t="shared" si="9"/>
        <v>41-60</v>
      </c>
      <c r="BD128">
        <v>11</v>
      </c>
      <c r="BF128" cm="1">
        <f t="array" ref="BF128">CORREL(J128:J1128,S128:S1128)</f>
        <v>-0.0344563354964959</v>
      </c>
      <c r="BH128">
        <v>7</v>
      </c>
      <c r="BI128">
        <f t="shared" si="6"/>
        <v>1.57142857142857</v>
      </c>
      <c r="BJ128">
        <f t="shared" si="7"/>
        <v>4.45454545454546</v>
      </c>
    </row>
    <row r="129" spans="1:62">
      <c r="A129" s="1">
        <v>278064972</v>
      </c>
      <c r="B129">
        <v>26</v>
      </c>
      <c r="C129" t="s">
        <v>59</v>
      </c>
      <c r="D129" t="s">
        <v>74</v>
      </c>
      <c r="E129" t="s">
        <v>86</v>
      </c>
      <c r="F129" t="s">
        <v>87</v>
      </c>
      <c r="G129" t="s">
        <v>60</v>
      </c>
      <c r="H129" t="s">
        <v>265</v>
      </c>
      <c r="I129" t="s">
        <v>122</v>
      </c>
      <c r="J129" s="2">
        <v>469.22</v>
      </c>
      <c r="K129">
        <v>6</v>
      </c>
      <c r="L129" t="s">
        <v>78</v>
      </c>
      <c r="M129">
        <v>1</v>
      </c>
      <c r="N129">
        <v>1</v>
      </c>
      <c r="O129">
        <v>1</v>
      </c>
      <c r="P129" t="s">
        <v>74</v>
      </c>
      <c r="Q129" t="s">
        <v>80</v>
      </c>
      <c r="R129">
        <v>0</v>
      </c>
      <c r="S129">
        <v>1</v>
      </c>
      <c r="T129" t="s">
        <v>84</v>
      </c>
      <c r="U129" t="s">
        <v>68</v>
      </c>
      <c r="V129" t="s">
        <v>69</v>
      </c>
      <c r="W129" s="3">
        <v>45511</v>
      </c>
      <c r="X129" t="b">
        <v>0</v>
      </c>
      <c r="Y129" t="b">
        <v>0</v>
      </c>
      <c r="Z129" t="s">
        <v>82</v>
      </c>
      <c r="AA129" t="s">
        <v>71</v>
      </c>
      <c r="AB129">
        <v>7</v>
      </c>
      <c r="AO129" t="str">
        <f t="shared" si="9"/>
        <v>26-40</v>
      </c>
      <c r="BD129">
        <v>6</v>
      </c>
      <c r="BF129" cm="1">
        <f t="array" ref="BF129">CORREL(J129:J1129,S129:S1129)</f>
        <v>-0.0342461658702955</v>
      </c>
      <c r="BH129">
        <v>1</v>
      </c>
      <c r="BI129">
        <f t="shared" si="6"/>
        <v>6</v>
      </c>
      <c r="BJ129">
        <f t="shared" si="7"/>
        <v>0.166666666666667</v>
      </c>
    </row>
    <row r="130" spans="1:62">
      <c r="A130" s="1">
        <v>483431220</v>
      </c>
      <c r="B130">
        <v>42</v>
      </c>
      <c r="C130" t="s">
        <v>59</v>
      </c>
      <c r="D130" t="s">
        <v>74</v>
      </c>
      <c r="E130" t="s">
        <v>103</v>
      </c>
      <c r="F130" t="s">
        <v>75</v>
      </c>
      <c r="G130" t="s">
        <v>74</v>
      </c>
      <c r="H130" t="s">
        <v>266</v>
      </c>
      <c r="I130" t="s">
        <v>209</v>
      </c>
      <c r="J130" s="2">
        <v>335.32</v>
      </c>
      <c r="K130">
        <v>6</v>
      </c>
      <c r="L130" t="s">
        <v>65</v>
      </c>
      <c r="M130">
        <v>3</v>
      </c>
      <c r="N130">
        <v>3</v>
      </c>
      <c r="O130">
        <v>1</v>
      </c>
      <c r="P130" t="s">
        <v>66</v>
      </c>
      <c r="Q130" t="s">
        <v>80</v>
      </c>
      <c r="R130">
        <v>0</v>
      </c>
      <c r="S130">
        <v>1</v>
      </c>
      <c r="T130" t="s">
        <v>84</v>
      </c>
      <c r="U130" t="s">
        <v>105</v>
      </c>
      <c r="V130" t="s">
        <v>96</v>
      </c>
      <c r="W130" s="3">
        <v>45516</v>
      </c>
      <c r="X130" t="b">
        <v>1</v>
      </c>
      <c r="Y130" t="b">
        <v>0</v>
      </c>
      <c r="Z130" t="s">
        <v>102</v>
      </c>
      <c r="AA130" t="s">
        <v>71</v>
      </c>
      <c r="AB130">
        <v>10</v>
      </c>
      <c r="AO130" t="str">
        <f t="shared" si="9"/>
        <v>41-60</v>
      </c>
      <c r="BD130">
        <v>6</v>
      </c>
      <c r="BF130" cm="1">
        <f t="array" ref="BF130">CORREL(J130:J1130,S130:S1130)</f>
        <v>-0.0316637245937306</v>
      </c>
      <c r="BH130">
        <v>1</v>
      </c>
      <c r="BI130">
        <f t="shared" si="6"/>
        <v>6</v>
      </c>
      <c r="BJ130">
        <f t="shared" si="7"/>
        <v>0.166666666666667</v>
      </c>
    </row>
    <row r="131" spans="1:62">
      <c r="A131" s="1">
        <v>156406493</v>
      </c>
      <c r="B131">
        <v>31</v>
      </c>
      <c r="C131" t="s">
        <v>73</v>
      </c>
      <c r="D131" t="s">
        <v>74</v>
      </c>
      <c r="E131" t="s">
        <v>103</v>
      </c>
      <c r="F131" t="s">
        <v>75</v>
      </c>
      <c r="G131" t="s">
        <v>60</v>
      </c>
      <c r="H131" t="s">
        <v>267</v>
      </c>
      <c r="I131" t="s">
        <v>120</v>
      </c>
      <c r="J131" s="2">
        <v>184.74</v>
      </c>
      <c r="K131">
        <v>5</v>
      </c>
      <c r="L131" t="s">
        <v>78</v>
      </c>
      <c r="M131">
        <v>4</v>
      </c>
      <c r="N131">
        <v>4</v>
      </c>
      <c r="O131">
        <v>0</v>
      </c>
      <c r="P131" t="s">
        <v>79</v>
      </c>
      <c r="Q131" t="s">
        <v>109</v>
      </c>
      <c r="R131">
        <v>1</v>
      </c>
      <c r="S131">
        <v>5</v>
      </c>
      <c r="T131" t="s">
        <v>74</v>
      </c>
      <c r="U131" t="s">
        <v>68</v>
      </c>
      <c r="V131" t="s">
        <v>91</v>
      </c>
      <c r="W131" s="3">
        <v>45623</v>
      </c>
      <c r="X131" t="b">
        <v>0</v>
      </c>
      <c r="Y131" t="b">
        <v>1</v>
      </c>
      <c r="Z131" t="s">
        <v>92</v>
      </c>
      <c r="AA131" t="s">
        <v>71</v>
      </c>
      <c r="AB131">
        <v>10</v>
      </c>
      <c r="AO131" t="str">
        <f t="shared" si="9"/>
        <v>26-40</v>
      </c>
      <c r="BD131">
        <v>5</v>
      </c>
      <c r="BF131" cm="1">
        <f t="array" ref="BF131">CORREL(J131:J1131,S131:S1131)</f>
        <v>-0.0308648081204836</v>
      </c>
      <c r="BH131">
        <v>5</v>
      </c>
      <c r="BI131">
        <f t="shared" ref="BI131:BI194" si="10">K131/S131</f>
        <v>1</v>
      </c>
      <c r="BJ131">
        <f t="shared" ref="BJ131:BJ194" si="11">BH131/BI131</f>
        <v>5</v>
      </c>
    </row>
    <row r="132" spans="1:62">
      <c r="A132" s="1">
        <v>648467450</v>
      </c>
      <c r="B132">
        <v>37</v>
      </c>
      <c r="C132" t="s">
        <v>268</v>
      </c>
      <c r="D132" t="s">
        <v>74</v>
      </c>
      <c r="E132" t="s">
        <v>103</v>
      </c>
      <c r="F132" t="s">
        <v>62</v>
      </c>
      <c r="G132" t="s">
        <v>60</v>
      </c>
      <c r="H132" t="s">
        <v>269</v>
      </c>
      <c r="I132" t="s">
        <v>178</v>
      </c>
      <c r="J132" s="2">
        <v>442.18</v>
      </c>
      <c r="K132">
        <v>5</v>
      </c>
      <c r="L132" t="s">
        <v>78</v>
      </c>
      <c r="M132">
        <v>4</v>
      </c>
      <c r="N132">
        <v>3</v>
      </c>
      <c r="O132">
        <v>1</v>
      </c>
      <c r="P132" t="s">
        <v>66</v>
      </c>
      <c r="Q132" t="s">
        <v>109</v>
      </c>
      <c r="R132">
        <v>2</v>
      </c>
      <c r="S132">
        <v>10</v>
      </c>
      <c r="T132" t="s">
        <v>74</v>
      </c>
      <c r="U132" t="s">
        <v>90</v>
      </c>
      <c r="V132" t="s">
        <v>81</v>
      </c>
      <c r="W132" s="3">
        <v>45316</v>
      </c>
      <c r="X132" t="b">
        <v>0</v>
      </c>
      <c r="Y132" t="b">
        <v>0</v>
      </c>
      <c r="Z132" t="s">
        <v>92</v>
      </c>
      <c r="AA132" t="s">
        <v>97</v>
      </c>
      <c r="AB132">
        <v>12</v>
      </c>
      <c r="AO132" t="str">
        <f t="shared" si="9"/>
        <v>26-40</v>
      </c>
      <c r="BD132">
        <v>5</v>
      </c>
      <c r="BF132" cm="1">
        <f t="array" ref="BF132">CORREL(J132:J1132,S132:S1132)</f>
        <v>-0.0310064313089628</v>
      </c>
      <c r="BH132">
        <v>10</v>
      </c>
      <c r="BI132">
        <f t="shared" si="10"/>
        <v>0.5</v>
      </c>
      <c r="BJ132">
        <f t="shared" si="11"/>
        <v>20</v>
      </c>
    </row>
    <row r="133" spans="1:62">
      <c r="A133" s="1">
        <v>587888938</v>
      </c>
      <c r="B133">
        <v>49</v>
      </c>
      <c r="C133" t="s">
        <v>73</v>
      </c>
      <c r="D133" t="s">
        <v>74</v>
      </c>
      <c r="E133" t="s">
        <v>61</v>
      </c>
      <c r="F133" t="s">
        <v>75</v>
      </c>
      <c r="G133" t="s">
        <v>60</v>
      </c>
      <c r="H133" t="s">
        <v>270</v>
      </c>
      <c r="I133" t="s">
        <v>147</v>
      </c>
      <c r="J133" s="2">
        <v>427.1</v>
      </c>
      <c r="K133">
        <v>8</v>
      </c>
      <c r="L133" t="s">
        <v>65</v>
      </c>
      <c r="M133">
        <v>1</v>
      </c>
      <c r="N133">
        <v>2</v>
      </c>
      <c r="O133">
        <v>1</v>
      </c>
      <c r="P133" t="s">
        <v>74</v>
      </c>
      <c r="Q133" t="s">
        <v>67</v>
      </c>
      <c r="R133">
        <v>0</v>
      </c>
      <c r="S133">
        <v>2</v>
      </c>
      <c r="T133" t="s">
        <v>79</v>
      </c>
      <c r="U133" t="s">
        <v>105</v>
      </c>
      <c r="V133" t="s">
        <v>81</v>
      </c>
      <c r="W133" s="3">
        <v>45422</v>
      </c>
      <c r="X133" t="b">
        <v>0</v>
      </c>
      <c r="Y133" t="b">
        <v>1</v>
      </c>
      <c r="Z133" t="s">
        <v>102</v>
      </c>
      <c r="AA133" t="s">
        <v>71</v>
      </c>
      <c r="AB133">
        <v>5</v>
      </c>
      <c r="AO133" t="str">
        <f t="shared" si="9"/>
        <v>41-60</v>
      </c>
      <c r="BD133">
        <v>8</v>
      </c>
      <c r="BF133" cm="1">
        <f t="array" ref="BF133">CORREL(J133:J1133,S133:S1133)</f>
        <v>-0.0334120206440229</v>
      </c>
      <c r="BH133">
        <v>2</v>
      </c>
      <c r="BI133">
        <f t="shared" si="10"/>
        <v>4</v>
      </c>
      <c r="BJ133">
        <f t="shared" si="11"/>
        <v>0.5</v>
      </c>
    </row>
    <row r="134" spans="1:62">
      <c r="A134" s="1">
        <v>522403825</v>
      </c>
      <c r="B134">
        <v>34</v>
      </c>
      <c r="C134" t="s">
        <v>73</v>
      </c>
      <c r="D134" t="s">
        <v>74</v>
      </c>
      <c r="E134" t="s">
        <v>98</v>
      </c>
      <c r="F134" t="s">
        <v>75</v>
      </c>
      <c r="G134" t="s">
        <v>74</v>
      </c>
      <c r="H134" t="s">
        <v>271</v>
      </c>
      <c r="I134" t="s">
        <v>95</v>
      </c>
      <c r="J134" s="2">
        <v>326.82</v>
      </c>
      <c r="K134">
        <v>4</v>
      </c>
      <c r="L134" t="s">
        <v>65</v>
      </c>
      <c r="M134">
        <v>3</v>
      </c>
      <c r="N134">
        <v>2</v>
      </c>
      <c r="O134">
        <v>1</v>
      </c>
      <c r="P134" t="s">
        <v>74</v>
      </c>
      <c r="Q134" t="s">
        <v>67</v>
      </c>
      <c r="R134">
        <v>2</v>
      </c>
      <c r="S134">
        <v>5</v>
      </c>
      <c r="T134" t="s">
        <v>79</v>
      </c>
      <c r="U134" t="s">
        <v>68</v>
      </c>
      <c r="V134" t="s">
        <v>69</v>
      </c>
      <c r="W134" s="3">
        <v>45404</v>
      </c>
      <c r="X134" t="b">
        <v>1</v>
      </c>
      <c r="Y134" t="b">
        <v>0</v>
      </c>
      <c r="Z134" t="s">
        <v>102</v>
      </c>
      <c r="AA134" t="s">
        <v>83</v>
      </c>
      <c r="AB134">
        <v>4</v>
      </c>
      <c r="AO134" t="str">
        <f t="shared" si="9"/>
        <v>26-40</v>
      </c>
      <c r="BD134">
        <v>4</v>
      </c>
      <c r="BF134" cm="1">
        <f t="array" ref="BF134">CORREL(J134:J1134,S134:S1134)</f>
        <v>-0.0318210419294445</v>
      </c>
      <c r="BH134">
        <v>5</v>
      </c>
      <c r="BI134">
        <f t="shared" si="10"/>
        <v>0.8</v>
      </c>
      <c r="BJ134">
        <f t="shared" si="11"/>
        <v>6.25</v>
      </c>
    </row>
    <row r="135" spans="1:62">
      <c r="A135" s="1">
        <v>606182561</v>
      </c>
      <c r="B135">
        <v>41</v>
      </c>
      <c r="C135" t="s">
        <v>73</v>
      </c>
      <c r="D135" t="s">
        <v>74</v>
      </c>
      <c r="E135" t="s">
        <v>98</v>
      </c>
      <c r="F135" t="s">
        <v>75</v>
      </c>
      <c r="G135" t="s">
        <v>60</v>
      </c>
      <c r="H135" t="s">
        <v>272</v>
      </c>
      <c r="I135" t="s">
        <v>124</v>
      </c>
      <c r="J135" s="2">
        <v>98.97</v>
      </c>
      <c r="K135">
        <v>12</v>
      </c>
      <c r="L135" t="s">
        <v>78</v>
      </c>
      <c r="M135">
        <v>2</v>
      </c>
      <c r="N135">
        <v>5</v>
      </c>
      <c r="O135">
        <v>2</v>
      </c>
      <c r="P135" t="s">
        <v>66</v>
      </c>
      <c r="Q135" t="s">
        <v>109</v>
      </c>
      <c r="R135">
        <v>1</v>
      </c>
      <c r="S135">
        <v>7</v>
      </c>
      <c r="T135" t="s">
        <v>74</v>
      </c>
      <c r="U135" t="s">
        <v>68</v>
      </c>
      <c r="V135" t="s">
        <v>96</v>
      </c>
      <c r="W135" s="3">
        <v>45370</v>
      </c>
      <c r="X135" t="b">
        <v>1</v>
      </c>
      <c r="Y135" t="b">
        <v>1</v>
      </c>
      <c r="Z135" t="s">
        <v>92</v>
      </c>
      <c r="AA135" t="s">
        <v>71</v>
      </c>
      <c r="AB135">
        <v>11</v>
      </c>
      <c r="AO135" t="str">
        <f t="shared" si="9"/>
        <v>41-60</v>
      </c>
      <c r="BD135">
        <v>12</v>
      </c>
      <c r="BF135" cm="1">
        <f t="array" ref="BF135">CORREL(J135:J1135,S135:S1135)</f>
        <v>-0.0317439501515356</v>
      </c>
      <c r="BH135">
        <v>7</v>
      </c>
      <c r="BI135">
        <f t="shared" si="10"/>
        <v>1.71428571428571</v>
      </c>
      <c r="BJ135">
        <f t="shared" si="11"/>
        <v>4.08333333333333</v>
      </c>
    </row>
    <row r="136" spans="1:62">
      <c r="A136" s="1">
        <v>949696819</v>
      </c>
      <c r="B136">
        <v>33</v>
      </c>
      <c r="C136" t="s">
        <v>73</v>
      </c>
      <c r="D136" t="s">
        <v>74</v>
      </c>
      <c r="E136" t="s">
        <v>86</v>
      </c>
      <c r="F136" t="s">
        <v>75</v>
      </c>
      <c r="G136" t="s">
        <v>74</v>
      </c>
      <c r="H136" t="s">
        <v>273</v>
      </c>
      <c r="I136" t="s">
        <v>122</v>
      </c>
      <c r="J136" s="2">
        <v>77.65</v>
      </c>
      <c r="K136">
        <v>6</v>
      </c>
      <c r="L136" t="s">
        <v>85</v>
      </c>
      <c r="M136">
        <v>1</v>
      </c>
      <c r="N136">
        <v>4</v>
      </c>
      <c r="O136">
        <v>1</v>
      </c>
      <c r="P136" t="s">
        <v>79</v>
      </c>
      <c r="Q136" t="s">
        <v>67</v>
      </c>
      <c r="R136">
        <v>2</v>
      </c>
      <c r="S136">
        <v>3</v>
      </c>
      <c r="T136" t="s">
        <v>66</v>
      </c>
      <c r="U136" t="s">
        <v>68</v>
      </c>
      <c r="V136" t="s">
        <v>110</v>
      </c>
      <c r="W136" s="3">
        <v>45315</v>
      </c>
      <c r="X136" t="b">
        <v>1</v>
      </c>
      <c r="Y136" t="b">
        <v>1</v>
      </c>
      <c r="Z136" t="s">
        <v>102</v>
      </c>
      <c r="AA136" t="s">
        <v>71</v>
      </c>
      <c r="AB136">
        <v>1</v>
      </c>
      <c r="AO136" t="str">
        <f t="shared" si="9"/>
        <v>26-40</v>
      </c>
      <c r="BD136">
        <v>6</v>
      </c>
      <c r="BF136" cm="1">
        <f t="array" ref="BF136">CORREL(J136:J1136,S136:S1136)</f>
        <v>-0.0309726219876238</v>
      </c>
      <c r="BH136">
        <v>3</v>
      </c>
      <c r="BI136">
        <f t="shared" si="10"/>
        <v>2</v>
      </c>
      <c r="BJ136">
        <f t="shared" si="11"/>
        <v>1.5</v>
      </c>
    </row>
    <row r="137" spans="1:62">
      <c r="A137" s="1">
        <v>769828107</v>
      </c>
      <c r="B137">
        <v>47</v>
      </c>
      <c r="C137" t="s">
        <v>59</v>
      </c>
      <c r="D137" t="s">
        <v>60</v>
      </c>
      <c r="E137" t="s">
        <v>98</v>
      </c>
      <c r="F137" t="s">
        <v>87</v>
      </c>
      <c r="G137" t="s">
        <v>74</v>
      </c>
      <c r="H137" t="s">
        <v>274</v>
      </c>
      <c r="I137" t="s">
        <v>131</v>
      </c>
      <c r="J137" s="2">
        <v>85.61</v>
      </c>
      <c r="K137">
        <v>2</v>
      </c>
      <c r="L137" t="s">
        <v>85</v>
      </c>
      <c r="M137">
        <v>4</v>
      </c>
      <c r="N137">
        <v>2</v>
      </c>
      <c r="O137">
        <v>1</v>
      </c>
      <c r="P137" t="s">
        <v>74</v>
      </c>
      <c r="Q137" t="s">
        <v>80</v>
      </c>
      <c r="R137">
        <v>1</v>
      </c>
      <c r="S137">
        <v>3</v>
      </c>
      <c r="T137" t="s">
        <v>84</v>
      </c>
      <c r="U137" t="s">
        <v>105</v>
      </c>
      <c r="V137" t="s">
        <v>96</v>
      </c>
      <c r="W137" s="3">
        <v>45569</v>
      </c>
      <c r="X137" t="b">
        <v>1</v>
      </c>
      <c r="Y137" t="b">
        <v>1</v>
      </c>
      <c r="Z137" t="s">
        <v>70</v>
      </c>
      <c r="AA137" t="s">
        <v>83</v>
      </c>
      <c r="AB137">
        <v>5</v>
      </c>
      <c r="AO137" t="str">
        <f t="shared" si="9"/>
        <v>41-60</v>
      </c>
      <c r="BD137">
        <v>2</v>
      </c>
      <c r="BF137" cm="1">
        <f t="array" ref="BF137">CORREL(J137:J1137,S137:S1137)</f>
        <v>-0.0325259468639794</v>
      </c>
      <c r="BH137">
        <v>3</v>
      </c>
      <c r="BI137">
        <f t="shared" si="10"/>
        <v>0.666666666666667</v>
      </c>
      <c r="BJ137">
        <f t="shared" si="11"/>
        <v>4.5</v>
      </c>
    </row>
    <row r="138" spans="1:62">
      <c r="A138" s="1">
        <v>527798972</v>
      </c>
      <c r="B138">
        <v>47</v>
      </c>
      <c r="C138" t="s">
        <v>73</v>
      </c>
      <c r="D138" t="s">
        <v>74</v>
      </c>
      <c r="E138" t="s">
        <v>98</v>
      </c>
      <c r="F138" t="s">
        <v>75</v>
      </c>
      <c r="G138" t="s">
        <v>74</v>
      </c>
      <c r="H138" t="s">
        <v>275</v>
      </c>
      <c r="I138" t="s">
        <v>77</v>
      </c>
      <c r="J138" s="2">
        <v>164.79</v>
      </c>
      <c r="K138">
        <v>4</v>
      </c>
      <c r="L138" t="s">
        <v>78</v>
      </c>
      <c r="M138">
        <v>3</v>
      </c>
      <c r="N138">
        <v>2</v>
      </c>
      <c r="O138">
        <v>0</v>
      </c>
      <c r="P138" t="s">
        <v>66</v>
      </c>
      <c r="Q138" t="s">
        <v>67</v>
      </c>
      <c r="R138">
        <v>2</v>
      </c>
      <c r="S138">
        <v>5</v>
      </c>
      <c r="T138" t="s">
        <v>74</v>
      </c>
      <c r="U138" t="s">
        <v>68</v>
      </c>
      <c r="V138" t="s">
        <v>69</v>
      </c>
      <c r="W138" s="3">
        <v>45435</v>
      </c>
      <c r="X138" t="b">
        <v>1</v>
      </c>
      <c r="Y138" t="b">
        <v>1</v>
      </c>
      <c r="Z138" t="s">
        <v>92</v>
      </c>
      <c r="AA138" t="s">
        <v>71</v>
      </c>
      <c r="AB138">
        <v>1</v>
      </c>
      <c r="AO138" t="str">
        <f t="shared" si="9"/>
        <v>41-60</v>
      </c>
      <c r="BD138">
        <v>4</v>
      </c>
      <c r="BF138" cm="1">
        <f t="array" ref="BF138">CORREL(J138:J1138,S138:S1138)</f>
        <v>-0.0340235742840072</v>
      </c>
      <c r="BH138">
        <v>5</v>
      </c>
      <c r="BI138">
        <f t="shared" si="10"/>
        <v>0.8</v>
      </c>
      <c r="BJ138">
        <f t="shared" si="11"/>
        <v>6.25</v>
      </c>
    </row>
    <row r="139" spans="1:62">
      <c r="A139" s="1">
        <v>405203271</v>
      </c>
      <c r="B139">
        <v>29</v>
      </c>
      <c r="C139" t="s">
        <v>59</v>
      </c>
      <c r="D139" t="s">
        <v>74</v>
      </c>
      <c r="E139" t="s">
        <v>98</v>
      </c>
      <c r="F139" t="s">
        <v>75</v>
      </c>
      <c r="G139" t="s">
        <v>74</v>
      </c>
      <c r="H139" t="s">
        <v>276</v>
      </c>
      <c r="I139" t="s">
        <v>147</v>
      </c>
      <c r="J139" s="2">
        <v>235.46</v>
      </c>
      <c r="K139">
        <v>10</v>
      </c>
      <c r="L139" t="s">
        <v>78</v>
      </c>
      <c r="M139">
        <v>3</v>
      </c>
      <c r="N139">
        <v>4</v>
      </c>
      <c r="O139">
        <v>2</v>
      </c>
      <c r="P139" t="s">
        <v>66</v>
      </c>
      <c r="Q139" t="s">
        <v>80</v>
      </c>
      <c r="R139">
        <v>0</v>
      </c>
      <c r="S139">
        <v>7</v>
      </c>
      <c r="T139" t="s">
        <v>66</v>
      </c>
      <c r="U139" t="s">
        <v>105</v>
      </c>
      <c r="V139" t="s">
        <v>69</v>
      </c>
      <c r="W139" s="3">
        <v>45609</v>
      </c>
      <c r="X139" t="b">
        <v>0</v>
      </c>
      <c r="Y139" t="b">
        <v>1</v>
      </c>
      <c r="Z139" t="s">
        <v>92</v>
      </c>
      <c r="AA139" t="s">
        <v>71</v>
      </c>
      <c r="AB139">
        <v>2</v>
      </c>
      <c r="AO139" t="str">
        <f t="shared" si="9"/>
        <v>26-40</v>
      </c>
      <c r="BD139">
        <v>10</v>
      </c>
      <c r="BF139" cm="1">
        <f t="array" ref="BF139">CORREL(J139:J1139,S139:S1139)</f>
        <v>-0.0342039881234989</v>
      </c>
      <c r="BH139">
        <v>7</v>
      </c>
      <c r="BI139">
        <f t="shared" si="10"/>
        <v>1.42857142857143</v>
      </c>
      <c r="BJ139">
        <f t="shared" si="11"/>
        <v>4.9</v>
      </c>
    </row>
    <row r="140" spans="1:62">
      <c r="A140" s="1">
        <v>798845600</v>
      </c>
      <c r="B140">
        <v>36</v>
      </c>
      <c r="C140" t="s">
        <v>59</v>
      </c>
      <c r="D140" t="s">
        <v>74</v>
      </c>
      <c r="E140" t="s">
        <v>98</v>
      </c>
      <c r="F140" t="s">
        <v>87</v>
      </c>
      <c r="G140" t="s">
        <v>60</v>
      </c>
      <c r="H140" t="s">
        <v>277</v>
      </c>
      <c r="I140" t="s">
        <v>107</v>
      </c>
      <c r="J140" s="2">
        <v>245.14</v>
      </c>
      <c r="K140">
        <v>4</v>
      </c>
      <c r="L140" t="s">
        <v>85</v>
      </c>
      <c r="M140">
        <v>4</v>
      </c>
      <c r="N140">
        <v>5</v>
      </c>
      <c r="O140">
        <v>1</v>
      </c>
      <c r="P140" t="s">
        <v>74</v>
      </c>
      <c r="Q140" t="s">
        <v>109</v>
      </c>
      <c r="R140">
        <v>1</v>
      </c>
      <c r="S140">
        <v>4</v>
      </c>
      <c r="T140" t="s">
        <v>79</v>
      </c>
      <c r="U140" t="s">
        <v>90</v>
      </c>
      <c r="V140" t="s">
        <v>81</v>
      </c>
      <c r="W140" s="3">
        <v>45354</v>
      </c>
      <c r="X140" t="b">
        <v>1</v>
      </c>
      <c r="Y140" t="b">
        <v>0</v>
      </c>
      <c r="Z140" t="s">
        <v>92</v>
      </c>
      <c r="AA140" t="s">
        <v>83</v>
      </c>
      <c r="AB140">
        <v>3</v>
      </c>
      <c r="AO140" t="str">
        <f t="shared" si="9"/>
        <v>26-40</v>
      </c>
      <c r="BD140">
        <v>4</v>
      </c>
      <c r="BF140" cm="1">
        <f t="array" ref="BF140">CORREL(J140:J1140,S140:S1140)</f>
        <v>-0.0340325958632537</v>
      </c>
      <c r="BH140">
        <v>4</v>
      </c>
      <c r="BI140">
        <f t="shared" si="10"/>
        <v>1</v>
      </c>
      <c r="BJ140">
        <f t="shared" si="11"/>
        <v>4</v>
      </c>
    </row>
    <row r="141" spans="1:62">
      <c r="A141" s="1">
        <v>806079947</v>
      </c>
      <c r="B141">
        <v>43</v>
      </c>
      <c r="C141" t="s">
        <v>73</v>
      </c>
      <c r="D141" t="s">
        <v>74</v>
      </c>
      <c r="E141" t="s">
        <v>103</v>
      </c>
      <c r="F141" t="s">
        <v>62</v>
      </c>
      <c r="G141" t="s">
        <v>60</v>
      </c>
      <c r="H141" t="s">
        <v>278</v>
      </c>
      <c r="I141" t="s">
        <v>137</v>
      </c>
      <c r="J141" s="2">
        <v>439.91</v>
      </c>
      <c r="K141">
        <v>5</v>
      </c>
      <c r="L141" t="s">
        <v>85</v>
      </c>
      <c r="M141">
        <v>1</v>
      </c>
      <c r="N141">
        <v>4</v>
      </c>
      <c r="O141">
        <v>2</v>
      </c>
      <c r="P141" t="s">
        <v>84</v>
      </c>
      <c r="Q141" t="s">
        <v>67</v>
      </c>
      <c r="R141">
        <v>0</v>
      </c>
      <c r="S141">
        <v>9</v>
      </c>
      <c r="T141" t="s">
        <v>79</v>
      </c>
      <c r="U141" t="s">
        <v>90</v>
      </c>
      <c r="V141" t="s">
        <v>96</v>
      </c>
      <c r="W141" s="3">
        <v>45354</v>
      </c>
      <c r="X141" t="b">
        <v>0</v>
      </c>
      <c r="Y141" t="b">
        <v>0</v>
      </c>
      <c r="Z141" t="s">
        <v>70</v>
      </c>
      <c r="AA141" t="s">
        <v>97</v>
      </c>
      <c r="AB141">
        <v>10</v>
      </c>
      <c r="AO141" t="str">
        <f t="shared" si="9"/>
        <v>41-60</v>
      </c>
      <c r="BD141">
        <v>5</v>
      </c>
      <c r="BF141" cm="1">
        <f t="array" ref="BF141">CORREL(J141:J1141,S141:S1141)</f>
        <v>-0.0341716699814731</v>
      </c>
      <c r="BH141">
        <v>9</v>
      </c>
      <c r="BI141">
        <f t="shared" si="10"/>
        <v>0.555555555555556</v>
      </c>
      <c r="BJ141">
        <f t="shared" si="11"/>
        <v>16.2</v>
      </c>
    </row>
    <row r="142" spans="1:62">
      <c r="A142" s="1">
        <v>872908263</v>
      </c>
      <c r="B142">
        <v>31</v>
      </c>
      <c r="C142" t="s">
        <v>73</v>
      </c>
      <c r="D142" t="s">
        <v>74</v>
      </c>
      <c r="E142" t="s">
        <v>98</v>
      </c>
      <c r="F142" t="s">
        <v>75</v>
      </c>
      <c r="G142" t="s">
        <v>74</v>
      </c>
      <c r="H142" t="s">
        <v>279</v>
      </c>
      <c r="I142" t="s">
        <v>95</v>
      </c>
      <c r="J142" s="2">
        <v>309.22</v>
      </c>
      <c r="K142">
        <v>5</v>
      </c>
      <c r="L142" t="s">
        <v>65</v>
      </c>
      <c r="M142">
        <v>3</v>
      </c>
      <c r="N142">
        <v>5</v>
      </c>
      <c r="O142">
        <v>2</v>
      </c>
      <c r="P142" t="s">
        <v>84</v>
      </c>
      <c r="Q142" t="s">
        <v>80</v>
      </c>
      <c r="R142">
        <v>2</v>
      </c>
      <c r="S142">
        <v>4</v>
      </c>
      <c r="T142" t="s">
        <v>66</v>
      </c>
      <c r="U142" t="s">
        <v>68</v>
      </c>
      <c r="V142" t="s">
        <v>110</v>
      </c>
      <c r="W142" s="3">
        <v>45375</v>
      </c>
      <c r="X142" t="b">
        <v>0</v>
      </c>
      <c r="Y142" t="b">
        <v>0</v>
      </c>
      <c r="Z142" t="s">
        <v>102</v>
      </c>
      <c r="AA142" t="s">
        <v>83</v>
      </c>
      <c r="AB142">
        <v>10</v>
      </c>
      <c r="AO142" t="str">
        <f t="shared" si="9"/>
        <v>26-40</v>
      </c>
      <c r="BD142">
        <v>5</v>
      </c>
      <c r="BF142" cm="1">
        <f t="array" ref="BF142">CORREL(J142:J1142,S142:S1142)</f>
        <v>-0.036032835044566</v>
      </c>
      <c r="BH142">
        <v>4</v>
      </c>
      <c r="BI142">
        <f t="shared" si="10"/>
        <v>1.25</v>
      </c>
      <c r="BJ142">
        <f t="shared" si="11"/>
        <v>3.2</v>
      </c>
    </row>
    <row r="143" spans="1:62">
      <c r="A143" s="1">
        <v>993169993</v>
      </c>
      <c r="B143">
        <v>27</v>
      </c>
      <c r="C143" t="s">
        <v>73</v>
      </c>
      <c r="D143" t="s">
        <v>60</v>
      </c>
      <c r="E143" t="s">
        <v>98</v>
      </c>
      <c r="F143" t="s">
        <v>87</v>
      </c>
      <c r="G143" t="s">
        <v>60</v>
      </c>
      <c r="H143" t="s">
        <v>280</v>
      </c>
      <c r="I143" t="s">
        <v>156</v>
      </c>
      <c r="J143" s="2">
        <v>146.59</v>
      </c>
      <c r="K143">
        <v>10</v>
      </c>
      <c r="L143" t="s">
        <v>65</v>
      </c>
      <c r="M143">
        <v>5</v>
      </c>
      <c r="N143">
        <v>1</v>
      </c>
      <c r="O143">
        <v>2</v>
      </c>
      <c r="P143" t="s">
        <v>84</v>
      </c>
      <c r="Q143" t="s">
        <v>109</v>
      </c>
      <c r="R143">
        <v>0</v>
      </c>
      <c r="S143">
        <v>2</v>
      </c>
      <c r="T143" t="s">
        <v>66</v>
      </c>
      <c r="U143" t="s">
        <v>90</v>
      </c>
      <c r="V143" t="s">
        <v>110</v>
      </c>
      <c r="W143" s="3">
        <v>45313</v>
      </c>
      <c r="X143" t="b">
        <v>0</v>
      </c>
      <c r="Y143" t="b">
        <v>1</v>
      </c>
      <c r="Z143" t="s">
        <v>92</v>
      </c>
      <c r="AA143" t="s">
        <v>71</v>
      </c>
      <c r="AB143">
        <v>3</v>
      </c>
      <c r="AO143" t="str">
        <f t="shared" si="9"/>
        <v>26-40</v>
      </c>
      <c r="BD143">
        <v>10</v>
      </c>
      <c r="BF143" cm="1">
        <f t="array" ref="BF143">CORREL(J143:J1143,S143:S1143)</f>
        <v>-0.0358765216003525</v>
      </c>
      <c r="BH143">
        <v>2</v>
      </c>
      <c r="BI143">
        <f t="shared" si="10"/>
        <v>5</v>
      </c>
      <c r="BJ143">
        <f t="shared" si="11"/>
        <v>0.4</v>
      </c>
    </row>
    <row r="144" spans="1:62">
      <c r="A144" s="1">
        <v>541642243</v>
      </c>
      <c r="B144">
        <v>48</v>
      </c>
      <c r="C144" t="s">
        <v>73</v>
      </c>
      <c r="D144" t="s">
        <v>60</v>
      </c>
      <c r="E144" t="s">
        <v>86</v>
      </c>
      <c r="F144" t="s">
        <v>75</v>
      </c>
      <c r="G144" t="s">
        <v>60</v>
      </c>
      <c r="H144" t="s">
        <v>281</v>
      </c>
      <c r="I144" t="s">
        <v>124</v>
      </c>
      <c r="J144" s="2">
        <v>298.73</v>
      </c>
      <c r="K144">
        <v>4</v>
      </c>
      <c r="L144" t="s">
        <v>85</v>
      </c>
      <c r="M144">
        <v>1</v>
      </c>
      <c r="N144">
        <v>5</v>
      </c>
      <c r="O144">
        <v>1</v>
      </c>
      <c r="P144" t="s">
        <v>74</v>
      </c>
      <c r="Q144" t="s">
        <v>80</v>
      </c>
      <c r="R144">
        <v>0</v>
      </c>
      <c r="S144">
        <v>2</v>
      </c>
      <c r="T144" t="s">
        <v>84</v>
      </c>
      <c r="U144" t="s">
        <v>68</v>
      </c>
      <c r="V144" t="s">
        <v>91</v>
      </c>
      <c r="W144" s="3">
        <v>45598</v>
      </c>
      <c r="X144" t="b">
        <v>0</v>
      </c>
      <c r="Y144" t="b">
        <v>1</v>
      </c>
      <c r="Z144" t="s">
        <v>70</v>
      </c>
      <c r="AA144" t="s">
        <v>71</v>
      </c>
      <c r="AB144">
        <v>4</v>
      </c>
      <c r="AO144" t="str">
        <f t="shared" si="9"/>
        <v>41-60</v>
      </c>
      <c r="BD144">
        <v>4</v>
      </c>
      <c r="BF144" cm="1">
        <f t="array" ref="BF144">CORREL(J144:J1144,S144:S1144)</f>
        <v>-0.0373031894456258</v>
      </c>
      <c r="BH144">
        <v>2</v>
      </c>
      <c r="BI144">
        <f t="shared" si="10"/>
        <v>2</v>
      </c>
      <c r="BJ144">
        <f t="shared" si="11"/>
        <v>1</v>
      </c>
    </row>
    <row r="145" spans="1:62">
      <c r="B145">
        <v>19</v>
      </c>
      <c r="C145" t="s">
        <v>268</v>
      </c>
      <c r="D145" t="s">
        <v>74</v>
      </c>
      <c r="E145" t="s">
        <v>86</v>
      </c>
      <c r="F145" t="s">
        <v>62</v>
      </c>
      <c r="G145" t="s">
        <v>74</v>
      </c>
      <c r="H145" t="s">
        <v>282</v>
      </c>
      <c r="I145" t="s">
        <v>77</v>
      </c>
      <c r="J145" s="2">
        <v>395.01</v>
      </c>
      <c r="K145">
        <v>2</v>
      </c>
      <c r="L145" t="s">
        <v>65</v>
      </c>
      <c r="M145">
        <v>1</v>
      </c>
      <c r="N145">
        <v>2</v>
      </c>
      <c r="O145">
        <v>2</v>
      </c>
      <c r="P145" t="s">
        <v>79</v>
      </c>
      <c r="Q145" t="s">
        <v>109</v>
      </c>
      <c r="R145">
        <v>0</v>
      </c>
      <c r="S145">
        <v>6</v>
      </c>
      <c r="T145" t="s">
        <v>79</v>
      </c>
      <c r="U145" t="s">
        <v>105</v>
      </c>
      <c r="V145" t="s">
        <v>69</v>
      </c>
      <c r="W145" s="3">
        <v>45400</v>
      </c>
      <c r="X145" t="b">
        <v>1</v>
      </c>
      <c r="Y145" t="b">
        <v>0</v>
      </c>
      <c r="Z145" t="s">
        <v>82</v>
      </c>
      <c r="AA145" t="s">
        <v>83</v>
      </c>
      <c r="AB145">
        <v>3</v>
      </c>
      <c r="AO145" t="str">
        <f t="shared" si="9"/>
        <v>18-25</v>
      </c>
      <c r="BD145">
        <v>2</v>
      </c>
      <c r="BF145" cm="1">
        <f t="array" ref="BF145">CORREL(J145:J1145,S145:S1145)</f>
        <v>-0.0370669501118963</v>
      </c>
      <c r="BH145">
        <v>6</v>
      </c>
      <c r="BI145">
        <f t="shared" si="10"/>
        <v>0.333333333333333</v>
      </c>
      <c r="BJ145">
        <f t="shared" si="11"/>
        <v>18</v>
      </c>
    </row>
    <row r="146" spans="1:62">
      <c r="A146" s="1">
        <v>479927446</v>
      </c>
      <c r="B146">
        <v>41</v>
      </c>
      <c r="C146" t="s">
        <v>73</v>
      </c>
      <c r="D146" t="s">
        <v>60</v>
      </c>
      <c r="E146" t="s">
        <v>61</v>
      </c>
      <c r="F146" t="s">
        <v>62</v>
      </c>
      <c r="G146" t="s">
        <v>74</v>
      </c>
      <c r="H146" t="s">
        <v>283</v>
      </c>
      <c r="I146" t="s">
        <v>131</v>
      </c>
      <c r="J146" s="2">
        <v>371.19</v>
      </c>
      <c r="K146">
        <v>10</v>
      </c>
      <c r="L146" t="s">
        <v>65</v>
      </c>
      <c r="M146">
        <v>1</v>
      </c>
      <c r="N146">
        <v>2</v>
      </c>
      <c r="O146">
        <v>2</v>
      </c>
      <c r="P146" t="s">
        <v>74</v>
      </c>
      <c r="Q146" t="s">
        <v>67</v>
      </c>
      <c r="R146">
        <v>1</v>
      </c>
      <c r="S146">
        <v>8</v>
      </c>
      <c r="T146" t="s">
        <v>79</v>
      </c>
      <c r="U146" t="s">
        <v>105</v>
      </c>
      <c r="V146" t="s">
        <v>69</v>
      </c>
      <c r="W146" s="3">
        <v>45531</v>
      </c>
      <c r="X146" t="b">
        <v>0</v>
      </c>
      <c r="Y146" t="b">
        <v>0</v>
      </c>
      <c r="Z146" t="s">
        <v>102</v>
      </c>
      <c r="AA146" t="s">
        <v>97</v>
      </c>
      <c r="AB146">
        <v>1</v>
      </c>
      <c r="AO146" t="str">
        <f t="shared" si="9"/>
        <v>41-60</v>
      </c>
      <c r="BD146">
        <v>10</v>
      </c>
      <c r="BF146" cm="1">
        <f t="array" ref="BF146">CORREL(J146:J1146,S146:S1146)</f>
        <v>-0.0372737490053131</v>
      </c>
      <c r="BH146">
        <v>8</v>
      </c>
      <c r="BI146">
        <f t="shared" si="10"/>
        <v>1.25</v>
      </c>
      <c r="BJ146">
        <f t="shared" si="11"/>
        <v>6.4</v>
      </c>
    </row>
    <row r="147" spans="1:62">
      <c r="A147" s="1">
        <v>375135073</v>
      </c>
      <c r="B147">
        <v>33</v>
      </c>
      <c r="C147" t="s">
        <v>59</v>
      </c>
      <c r="D147" t="s">
        <v>60</v>
      </c>
      <c r="E147" t="s">
        <v>61</v>
      </c>
      <c r="F147" t="s">
        <v>87</v>
      </c>
      <c r="G147" t="s">
        <v>74</v>
      </c>
      <c r="H147" t="s">
        <v>284</v>
      </c>
      <c r="I147" t="s">
        <v>131</v>
      </c>
      <c r="J147" s="2">
        <v>193.76</v>
      </c>
      <c r="K147">
        <v>10</v>
      </c>
      <c r="L147" t="s">
        <v>65</v>
      </c>
      <c r="M147">
        <v>4</v>
      </c>
      <c r="N147">
        <v>3</v>
      </c>
      <c r="O147">
        <v>1</v>
      </c>
      <c r="P147" t="s">
        <v>79</v>
      </c>
      <c r="Q147" t="s">
        <v>80</v>
      </c>
      <c r="R147">
        <v>0</v>
      </c>
      <c r="S147">
        <v>2</v>
      </c>
      <c r="T147" t="s">
        <v>84</v>
      </c>
      <c r="U147" t="s">
        <v>105</v>
      </c>
      <c r="V147" t="s">
        <v>91</v>
      </c>
      <c r="W147" s="3">
        <v>45325</v>
      </c>
      <c r="X147" t="b">
        <v>0</v>
      </c>
      <c r="Y147" t="b">
        <v>0</v>
      </c>
      <c r="Z147" t="s">
        <v>82</v>
      </c>
      <c r="AA147" t="s">
        <v>71</v>
      </c>
      <c r="AB147">
        <v>12</v>
      </c>
      <c r="AO147" t="str">
        <f t="shared" si="9"/>
        <v>26-40</v>
      </c>
      <c r="BD147">
        <v>10</v>
      </c>
      <c r="BF147" cm="1">
        <f t="array" ref="BF147">CORREL(J147:J1147,S147:S1147)</f>
        <v>-0.0380592096665092</v>
      </c>
      <c r="BH147">
        <v>2</v>
      </c>
      <c r="BI147">
        <f t="shared" si="10"/>
        <v>5</v>
      </c>
      <c r="BJ147">
        <f t="shared" si="11"/>
        <v>0.4</v>
      </c>
    </row>
    <row r="148" spans="1:62">
      <c r="A148" s="1">
        <v>934737248</v>
      </c>
      <c r="B148">
        <v>43</v>
      </c>
      <c r="C148" t="s">
        <v>73</v>
      </c>
      <c r="D148" t="s">
        <v>60</v>
      </c>
      <c r="E148" t="s">
        <v>103</v>
      </c>
      <c r="F148" t="s">
        <v>87</v>
      </c>
      <c r="G148" t="s">
        <v>74</v>
      </c>
      <c r="H148" t="s">
        <v>285</v>
      </c>
      <c r="I148" t="s">
        <v>135</v>
      </c>
      <c r="J148" s="2">
        <v>424.27</v>
      </c>
      <c r="K148">
        <v>6</v>
      </c>
      <c r="L148" t="s">
        <v>85</v>
      </c>
      <c r="M148">
        <v>1</v>
      </c>
      <c r="N148">
        <v>4</v>
      </c>
      <c r="O148">
        <v>2</v>
      </c>
      <c r="P148" t="s">
        <v>66</v>
      </c>
      <c r="Q148" t="s">
        <v>80</v>
      </c>
      <c r="R148">
        <v>2</v>
      </c>
      <c r="S148">
        <v>8</v>
      </c>
      <c r="T148" t="s">
        <v>84</v>
      </c>
      <c r="U148" t="s">
        <v>68</v>
      </c>
      <c r="V148" t="s">
        <v>110</v>
      </c>
      <c r="W148" s="3">
        <v>45550</v>
      </c>
      <c r="X148" t="b">
        <v>1</v>
      </c>
      <c r="Y148" t="b">
        <v>1</v>
      </c>
      <c r="Z148" t="s">
        <v>102</v>
      </c>
      <c r="AA148" t="s">
        <v>83</v>
      </c>
      <c r="AB148">
        <v>12</v>
      </c>
      <c r="AO148" t="str">
        <f t="shared" si="9"/>
        <v>41-60</v>
      </c>
      <c r="BD148">
        <v>6</v>
      </c>
      <c r="BF148" cm="1">
        <f t="array" ref="BF148">CORREL(J148:J1148,S148:S1148)</f>
        <v>-0.0389686484582713</v>
      </c>
      <c r="BH148">
        <v>8</v>
      </c>
      <c r="BI148">
        <f t="shared" si="10"/>
        <v>0.75</v>
      </c>
      <c r="BJ148">
        <f t="shared" si="11"/>
        <v>10.6666666666667</v>
      </c>
    </row>
    <row r="149" spans="1:62">
      <c r="A149" s="1">
        <v>728301211</v>
      </c>
      <c r="B149">
        <v>38</v>
      </c>
      <c r="C149" t="s">
        <v>73</v>
      </c>
      <c r="D149" t="s">
        <v>74</v>
      </c>
      <c r="E149" t="s">
        <v>86</v>
      </c>
      <c r="F149" t="s">
        <v>62</v>
      </c>
      <c r="G149" t="s">
        <v>74</v>
      </c>
      <c r="H149" t="s">
        <v>286</v>
      </c>
      <c r="I149" t="s">
        <v>209</v>
      </c>
      <c r="J149" s="2">
        <v>496.11</v>
      </c>
      <c r="K149">
        <v>2</v>
      </c>
      <c r="L149" t="s">
        <v>65</v>
      </c>
      <c r="M149">
        <v>2</v>
      </c>
      <c r="N149">
        <v>3</v>
      </c>
      <c r="O149">
        <v>1</v>
      </c>
      <c r="P149" t="s">
        <v>74</v>
      </c>
      <c r="Q149" t="s">
        <v>67</v>
      </c>
      <c r="R149">
        <v>2</v>
      </c>
      <c r="S149">
        <v>8</v>
      </c>
      <c r="T149" t="s">
        <v>74</v>
      </c>
      <c r="U149" t="s">
        <v>90</v>
      </c>
      <c r="V149" t="s">
        <v>81</v>
      </c>
      <c r="W149" s="3">
        <v>45451</v>
      </c>
      <c r="X149" t="b">
        <v>1</v>
      </c>
      <c r="Y149" t="b">
        <v>0</v>
      </c>
      <c r="Z149" t="s">
        <v>92</v>
      </c>
      <c r="AA149" t="s">
        <v>83</v>
      </c>
      <c r="AB149">
        <v>12</v>
      </c>
      <c r="AO149" t="str">
        <f t="shared" si="9"/>
        <v>26-40</v>
      </c>
      <c r="BD149">
        <v>2</v>
      </c>
      <c r="BF149" cm="1">
        <f t="array" ref="BF149">CORREL(J149:J1149,S149:S1149)</f>
        <v>-0.0401872552960613</v>
      </c>
      <c r="BH149">
        <v>8</v>
      </c>
      <c r="BI149">
        <f t="shared" si="10"/>
        <v>0.25</v>
      </c>
      <c r="BJ149">
        <f t="shared" si="11"/>
        <v>32</v>
      </c>
    </row>
    <row r="150" spans="1:62">
      <c r="A150" s="1">
        <v>879346762</v>
      </c>
      <c r="B150">
        <v>41</v>
      </c>
      <c r="C150" t="s">
        <v>73</v>
      </c>
      <c r="D150" t="s">
        <v>74</v>
      </c>
      <c r="E150" t="s">
        <v>98</v>
      </c>
      <c r="F150" t="s">
        <v>62</v>
      </c>
      <c r="G150" t="s">
        <v>60</v>
      </c>
      <c r="H150" t="s">
        <v>287</v>
      </c>
      <c r="I150" t="s">
        <v>135</v>
      </c>
      <c r="J150" s="2">
        <v>341.91</v>
      </c>
      <c r="K150">
        <v>3</v>
      </c>
      <c r="L150" t="s">
        <v>85</v>
      </c>
      <c r="M150">
        <v>4</v>
      </c>
      <c r="N150">
        <v>4</v>
      </c>
      <c r="O150">
        <v>0</v>
      </c>
      <c r="P150" t="s">
        <v>84</v>
      </c>
      <c r="Q150" t="s">
        <v>80</v>
      </c>
      <c r="R150">
        <v>1</v>
      </c>
      <c r="S150">
        <v>9</v>
      </c>
      <c r="T150" t="s">
        <v>66</v>
      </c>
      <c r="U150" t="s">
        <v>68</v>
      </c>
      <c r="V150" t="s">
        <v>110</v>
      </c>
      <c r="W150" s="3">
        <v>45443</v>
      </c>
      <c r="X150" t="b">
        <v>0</v>
      </c>
      <c r="Y150" t="b">
        <v>0</v>
      </c>
      <c r="Z150" t="s">
        <v>92</v>
      </c>
      <c r="AA150" t="s">
        <v>97</v>
      </c>
      <c r="AB150">
        <v>7</v>
      </c>
      <c r="AO150" t="str">
        <f t="shared" si="9"/>
        <v>41-60</v>
      </c>
      <c r="BD150">
        <v>3</v>
      </c>
      <c r="BF150" cm="1">
        <f t="array" ref="BF150">CORREL(J150:J1150,S150:S1150)</f>
        <v>-0.0420100375039564</v>
      </c>
      <c r="BH150">
        <v>9</v>
      </c>
      <c r="BI150">
        <f t="shared" si="10"/>
        <v>0.333333333333333</v>
      </c>
      <c r="BJ150">
        <f t="shared" si="11"/>
        <v>27</v>
      </c>
    </row>
    <row r="151" spans="1:62">
      <c r="A151" s="1">
        <v>719759564</v>
      </c>
      <c r="B151">
        <v>40</v>
      </c>
      <c r="C151" t="s">
        <v>73</v>
      </c>
      <c r="D151" t="s">
        <v>74</v>
      </c>
      <c r="E151" t="s">
        <v>61</v>
      </c>
      <c r="F151" t="s">
        <v>87</v>
      </c>
      <c r="G151" t="s">
        <v>74</v>
      </c>
      <c r="H151" t="s">
        <v>288</v>
      </c>
      <c r="I151" t="s">
        <v>64</v>
      </c>
      <c r="J151" s="2">
        <v>127.66</v>
      </c>
      <c r="K151">
        <v>11</v>
      </c>
      <c r="L151" t="s">
        <v>85</v>
      </c>
      <c r="M151">
        <v>1</v>
      </c>
      <c r="N151">
        <v>2</v>
      </c>
      <c r="O151">
        <v>2</v>
      </c>
      <c r="P151" t="s">
        <v>84</v>
      </c>
      <c r="Q151" t="s">
        <v>80</v>
      </c>
      <c r="R151">
        <v>2</v>
      </c>
      <c r="S151">
        <v>7</v>
      </c>
      <c r="T151" t="s">
        <v>66</v>
      </c>
      <c r="U151" t="s">
        <v>90</v>
      </c>
      <c r="V151" t="s">
        <v>69</v>
      </c>
      <c r="W151" s="3">
        <v>45345</v>
      </c>
      <c r="X151" t="b">
        <v>0</v>
      </c>
      <c r="Y151" t="b">
        <v>1</v>
      </c>
      <c r="Z151" t="s">
        <v>102</v>
      </c>
      <c r="AA151" t="s">
        <v>83</v>
      </c>
      <c r="AB151">
        <v>7</v>
      </c>
      <c r="AO151" t="str">
        <f t="shared" si="9"/>
        <v>26-40</v>
      </c>
      <c r="BD151">
        <v>11</v>
      </c>
      <c r="BF151" cm="1">
        <f t="array" ref="BF151">CORREL(J151:J1151,S151:S1151)</f>
        <v>-0.0428052260959011</v>
      </c>
      <c r="BH151">
        <v>7</v>
      </c>
      <c r="BI151">
        <f t="shared" si="10"/>
        <v>1.57142857142857</v>
      </c>
      <c r="BJ151">
        <f t="shared" si="11"/>
        <v>4.45454545454546</v>
      </c>
    </row>
    <row r="152" spans="1:62">
      <c r="A152" s="1">
        <v>402325631</v>
      </c>
      <c r="B152">
        <v>47</v>
      </c>
      <c r="C152" t="s">
        <v>150</v>
      </c>
      <c r="D152" t="s">
        <v>60</v>
      </c>
      <c r="E152" t="s">
        <v>86</v>
      </c>
      <c r="F152" t="s">
        <v>62</v>
      </c>
      <c r="G152" t="s">
        <v>60</v>
      </c>
      <c r="H152" t="s">
        <v>289</v>
      </c>
      <c r="I152" t="s">
        <v>133</v>
      </c>
      <c r="J152" s="2">
        <v>227.47</v>
      </c>
      <c r="K152">
        <v>2</v>
      </c>
      <c r="L152" t="s">
        <v>85</v>
      </c>
      <c r="M152">
        <v>2</v>
      </c>
      <c r="N152">
        <v>2</v>
      </c>
      <c r="O152">
        <v>2</v>
      </c>
      <c r="P152" t="s">
        <v>84</v>
      </c>
      <c r="Q152" t="s">
        <v>109</v>
      </c>
      <c r="R152">
        <v>1</v>
      </c>
      <c r="S152">
        <v>4</v>
      </c>
      <c r="T152" t="s">
        <v>74</v>
      </c>
      <c r="U152" t="s">
        <v>68</v>
      </c>
      <c r="V152" t="s">
        <v>96</v>
      </c>
      <c r="W152" s="3">
        <v>45595</v>
      </c>
      <c r="X152" t="b">
        <v>1</v>
      </c>
      <c r="Y152" t="b">
        <v>0</v>
      </c>
      <c r="Z152" t="s">
        <v>70</v>
      </c>
      <c r="AA152" t="s">
        <v>97</v>
      </c>
      <c r="AB152">
        <v>9</v>
      </c>
      <c r="AO152" t="str">
        <f t="shared" si="9"/>
        <v>41-60</v>
      </c>
      <c r="BD152">
        <v>2</v>
      </c>
      <c r="BF152" cm="1">
        <f t="array" ref="BF152">CORREL(J152:J1152,S152:S1152)</f>
        <v>-0.0421568781360276</v>
      </c>
      <c r="BH152">
        <v>4</v>
      </c>
      <c r="BI152">
        <f t="shared" si="10"/>
        <v>0.5</v>
      </c>
      <c r="BJ152">
        <f t="shared" si="11"/>
        <v>8</v>
      </c>
    </row>
    <row r="153" spans="1:62">
      <c r="A153" s="1">
        <v>224144955</v>
      </c>
      <c r="B153">
        <v>35</v>
      </c>
      <c r="C153" t="s">
        <v>73</v>
      </c>
      <c r="D153" t="s">
        <v>74</v>
      </c>
      <c r="E153" t="s">
        <v>98</v>
      </c>
      <c r="F153" t="s">
        <v>62</v>
      </c>
      <c r="G153" t="s">
        <v>74</v>
      </c>
      <c r="H153" t="s">
        <v>290</v>
      </c>
      <c r="I153" t="s">
        <v>147</v>
      </c>
      <c r="J153" s="2">
        <v>342.99</v>
      </c>
      <c r="K153">
        <v>3</v>
      </c>
      <c r="L153" t="s">
        <v>78</v>
      </c>
      <c r="M153">
        <v>4</v>
      </c>
      <c r="N153">
        <v>2</v>
      </c>
      <c r="O153">
        <v>2</v>
      </c>
      <c r="P153" t="s">
        <v>84</v>
      </c>
      <c r="Q153" t="s">
        <v>109</v>
      </c>
      <c r="R153">
        <v>0</v>
      </c>
      <c r="S153">
        <v>6</v>
      </c>
      <c r="T153" t="s">
        <v>79</v>
      </c>
      <c r="U153" t="s">
        <v>90</v>
      </c>
      <c r="V153" t="s">
        <v>96</v>
      </c>
      <c r="W153" s="3">
        <v>45618</v>
      </c>
      <c r="X153" t="b">
        <v>0</v>
      </c>
      <c r="Y153" t="b">
        <v>1</v>
      </c>
      <c r="Z153" t="s">
        <v>92</v>
      </c>
      <c r="AA153" t="s">
        <v>97</v>
      </c>
      <c r="AB153">
        <v>6</v>
      </c>
      <c r="AO153" t="str">
        <f t="shared" si="9"/>
        <v>26-40</v>
      </c>
      <c r="BD153">
        <v>3</v>
      </c>
      <c r="BF153" cm="1">
        <f t="array" ref="BF153">CORREL(J153:J1153,S153:S1153)</f>
        <v>-0.0423801794830052</v>
      </c>
      <c r="BH153">
        <v>6</v>
      </c>
      <c r="BI153">
        <f t="shared" si="10"/>
        <v>0.5</v>
      </c>
      <c r="BJ153">
        <f t="shared" si="11"/>
        <v>12</v>
      </c>
    </row>
    <row r="154" spans="1:62">
      <c r="A154" s="1">
        <v>990891930</v>
      </c>
      <c r="B154">
        <v>49</v>
      </c>
      <c r="C154" t="s">
        <v>175</v>
      </c>
      <c r="D154" t="s">
        <v>74</v>
      </c>
      <c r="E154" t="s">
        <v>61</v>
      </c>
      <c r="F154" t="s">
        <v>87</v>
      </c>
      <c r="G154" t="s">
        <v>60</v>
      </c>
      <c r="H154" t="s">
        <v>291</v>
      </c>
      <c r="I154" t="s">
        <v>129</v>
      </c>
      <c r="J154" s="2">
        <v>306.48</v>
      </c>
      <c r="K154">
        <v>5</v>
      </c>
      <c r="L154" t="s">
        <v>65</v>
      </c>
      <c r="M154">
        <v>1</v>
      </c>
      <c r="N154">
        <v>3</v>
      </c>
      <c r="O154">
        <v>0</v>
      </c>
      <c r="P154" t="s">
        <v>79</v>
      </c>
      <c r="Q154" t="s">
        <v>109</v>
      </c>
      <c r="R154">
        <v>0</v>
      </c>
      <c r="S154">
        <v>9</v>
      </c>
      <c r="T154" t="s">
        <v>84</v>
      </c>
      <c r="U154" t="s">
        <v>68</v>
      </c>
      <c r="V154" t="s">
        <v>69</v>
      </c>
      <c r="W154" s="3">
        <v>45550</v>
      </c>
      <c r="X154" t="b">
        <v>0</v>
      </c>
      <c r="Y154" t="b">
        <v>1</v>
      </c>
      <c r="Z154" t="s">
        <v>70</v>
      </c>
      <c r="AA154" t="s">
        <v>83</v>
      </c>
      <c r="AB154">
        <v>14</v>
      </c>
      <c r="AO154" t="str">
        <f t="shared" si="9"/>
        <v>41-60</v>
      </c>
      <c r="BD154">
        <v>5</v>
      </c>
      <c r="BF154" cm="1">
        <f t="array" ref="BF154">CORREL(J154:J1154,S154:S1154)</f>
        <v>-0.0424986818813333</v>
      </c>
      <c r="BH154">
        <v>9</v>
      </c>
      <c r="BI154">
        <f t="shared" si="10"/>
        <v>0.555555555555556</v>
      </c>
      <c r="BJ154">
        <f t="shared" si="11"/>
        <v>16.2</v>
      </c>
    </row>
    <row r="155" spans="1:62">
      <c r="A155" s="1">
        <v>621982511</v>
      </c>
      <c r="B155">
        <v>22</v>
      </c>
      <c r="C155" t="s">
        <v>73</v>
      </c>
      <c r="D155" t="s">
        <v>60</v>
      </c>
      <c r="E155" t="s">
        <v>103</v>
      </c>
      <c r="F155" t="s">
        <v>87</v>
      </c>
      <c r="G155" t="s">
        <v>74</v>
      </c>
      <c r="H155" t="s">
        <v>292</v>
      </c>
      <c r="I155" t="s">
        <v>95</v>
      </c>
      <c r="J155" s="2">
        <v>308.54</v>
      </c>
      <c r="K155">
        <v>3</v>
      </c>
      <c r="L155" t="s">
        <v>65</v>
      </c>
      <c r="M155">
        <v>1</v>
      </c>
      <c r="N155">
        <v>3</v>
      </c>
      <c r="O155">
        <v>0</v>
      </c>
      <c r="P155" t="s">
        <v>74</v>
      </c>
      <c r="Q155" t="s">
        <v>80</v>
      </c>
      <c r="R155">
        <v>1</v>
      </c>
      <c r="S155">
        <v>5</v>
      </c>
      <c r="T155" t="s">
        <v>74</v>
      </c>
      <c r="U155" t="s">
        <v>105</v>
      </c>
      <c r="V155" t="s">
        <v>69</v>
      </c>
      <c r="W155" s="3">
        <v>45564</v>
      </c>
      <c r="X155" t="b">
        <v>0</v>
      </c>
      <c r="Y155" t="b">
        <v>1</v>
      </c>
      <c r="Z155" t="s">
        <v>82</v>
      </c>
      <c r="AA155" t="s">
        <v>83</v>
      </c>
      <c r="AB155">
        <v>7</v>
      </c>
      <c r="AO155" t="str">
        <f t="shared" si="9"/>
        <v>18-25</v>
      </c>
      <c r="BD155">
        <v>3</v>
      </c>
      <c r="BF155" cm="1">
        <f t="array" ref="BF155">CORREL(J155:J1155,S155:S1155)</f>
        <v>-0.0429022277056323</v>
      </c>
      <c r="BH155">
        <v>5</v>
      </c>
      <c r="BI155">
        <f t="shared" si="10"/>
        <v>0.6</v>
      </c>
      <c r="BJ155">
        <f t="shared" si="11"/>
        <v>8.33333333333333</v>
      </c>
    </row>
    <row r="156" spans="1:62">
      <c r="A156" s="1">
        <v>212971223</v>
      </c>
      <c r="B156">
        <v>49</v>
      </c>
      <c r="C156" t="s">
        <v>73</v>
      </c>
      <c r="D156" t="s">
        <v>74</v>
      </c>
      <c r="E156" t="s">
        <v>86</v>
      </c>
      <c r="F156" t="s">
        <v>87</v>
      </c>
      <c r="G156" t="s">
        <v>60</v>
      </c>
      <c r="H156" t="s">
        <v>293</v>
      </c>
      <c r="I156" t="s">
        <v>178</v>
      </c>
      <c r="J156" s="2">
        <v>124.17</v>
      </c>
      <c r="K156">
        <v>12</v>
      </c>
      <c r="L156" t="s">
        <v>65</v>
      </c>
      <c r="M156">
        <v>5</v>
      </c>
      <c r="N156">
        <v>2</v>
      </c>
      <c r="O156">
        <v>2</v>
      </c>
      <c r="P156" t="s">
        <v>74</v>
      </c>
      <c r="Q156" t="s">
        <v>109</v>
      </c>
      <c r="R156">
        <v>2</v>
      </c>
      <c r="S156">
        <v>4</v>
      </c>
      <c r="T156" t="s">
        <v>74</v>
      </c>
      <c r="U156" t="s">
        <v>90</v>
      </c>
      <c r="V156" t="s">
        <v>91</v>
      </c>
      <c r="W156" s="3">
        <v>45612</v>
      </c>
      <c r="X156" t="b">
        <v>1</v>
      </c>
      <c r="Y156" t="b">
        <v>1</v>
      </c>
      <c r="Z156" t="s">
        <v>102</v>
      </c>
      <c r="AA156" t="s">
        <v>83</v>
      </c>
      <c r="AB156">
        <v>6</v>
      </c>
      <c r="AO156" t="str">
        <f t="shared" ref="AO156:AO219" si="12">IF(B156&lt;=25,"18-25",IF(B156&lt;=40,"26-40",IF(B156&lt;=60,"41-60","Above60")))</f>
        <v>41-60</v>
      </c>
      <c r="BD156">
        <v>12</v>
      </c>
      <c r="BF156" cm="1">
        <f t="array" ref="BF156">CORREL(J156:J1156,S156:S1156)</f>
        <v>-0.0428510805864304</v>
      </c>
      <c r="BH156">
        <v>4</v>
      </c>
      <c r="BI156">
        <f t="shared" si="10"/>
        <v>3</v>
      </c>
      <c r="BJ156">
        <f t="shared" si="11"/>
        <v>1.33333333333333</v>
      </c>
    </row>
    <row r="157" spans="1:62">
      <c r="A157" s="1">
        <v>109619336</v>
      </c>
      <c r="B157">
        <v>27</v>
      </c>
      <c r="C157" t="s">
        <v>59</v>
      </c>
      <c r="D157" t="s">
        <v>60</v>
      </c>
      <c r="E157" t="s">
        <v>61</v>
      </c>
      <c r="F157" t="s">
        <v>87</v>
      </c>
      <c r="G157" t="s">
        <v>60</v>
      </c>
      <c r="H157" t="s">
        <v>294</v>
      </c>
      <c r="I157" t="s">
        <v>178</v>
      </c>
      <c r="J157" s="2">
        <v>78</v>
      </c>
      <c r="K157">
        <v>5</v>
      </c>
      <c r="L157" t="s">
        <v>85</v>
      </c>
      <c r="M157">
        <v>1</v>
      </c>
      <c r="N157">
        <v>5</v>
      </c>
      <c r="O157">
        <v>0</v>
      </c>
      <c r="P157" t="s">
        <v>66</v>
      </c>
      <c r="Q157" t="s">
        <v>80</v>
      </c>
      <c r="R157">
        <v>1</v>
      </c>
      <c r="S157">
        <v>1</v>
      </c>
      <c r="T157" t="s">
        <v>84</v>
      </c>
      <c r="U157" t="s">
        <v>105</v>
      </c>
      <c r="V157" t="s">
        <v>91</v>
      </c>
      <c r="W157" s="3">
        <v>45605</v>
      </c>
      <c r="X157" t="b">
        <v>1</v>
      </c>
      <c r="Y157" t="b">
        <v>0</v>
      </c>
      <c r="Z157" t="s">
        <v>82</v>
      </c>
      <c r="AA157" t="s">
        <v>71</v>
      </c>
      <c r="AB157">
        <v>11</v>
      </c>
      <c r="AO157" t="str">
        <f t="shared" si="12"/>
        <v>26-40</v>
      </c>
      <c r="BD157">
        <v>5</v>
      </c>
      <c r="BF157" cm="1">
        <f t="array" ref="BF157">CORREL(J157:J1157,S157:S1157)</f>
        <v>-0.0435847077635901</v>
      </c>
      <c r="BH157">
        <v>1</v>
      </c>
      <c r="BI157">
        <f t="shared" si="10"/>
        <v>5</v>
      </c>
      <c r="BJ157">
        <f t="shared" si="11"/>
        <v>0.2</v>
      </c>
    </row>
    <row r="158" spans="1:62">
      <c r="A158" s="1">
        <v>714732656</v>
      </c>
      <c r="B158">
        <v>27</v>
      </c>
      <c r="C158" t="s">
        <v>59</v>
      </c>
      <c r="D158" t="s">
        <v>74</v>
      </c>
      <c r="E158" t="s">
        <v>61</v>
      </c>
      <c r="F158" t="s">
        <v>62</v>
      </c>
      <c r="G158" t="s">
        <v>60</v>
      </c>
      <c r="H158" t="s">
        <v>295</v>
      </c>
      <c r="I158" t="s">
        <v>122</v>
      </c>
      <c r="J158" s="2">
        <v>393.03</v>
      </c>
      <c r="K158">
        <v>4</v>
      </c>
      <c r="L158" t="s">
        <v>65</v>
      </c>
      <c r="M158">
        <v>4</v>
      </c>
      <c r="N158">
        <v>4</v>
      </c>
      <c r="O158">
        <v>0</v>
      </c>
      <c r="P158" t="s">
        <v>74</v>
      </c>
      <c r="Q158" t="s">
        <v>67</v>
      </c>
      <c r="R158">
        <v>1</v>
      </c>
      <c r="S158">
        <v>3</v>
      </c>
      <c r="T158" t="s">
        <v>79</v>
      </c>
      <c r="U158" t="s">
        <v>90</v>
      </c>
      <c r="V158" t="s">
        <v>110</v>
      </c>
      <c r="W158" s="3">
        <v>45538</v>
      </c>
      <c r="X158" t="b">
        <v>1</v>
      </c>
      <c r="Y158" t="b">
        <v>1</v>
      </c>
      <c r="Z158" t="s">
        <v>102</v>
      </c>
      <c r="AA158" t="s">
        <v>83</v>
      </c>
      <c r="AB158">
        <v>7</v>
      </c>
      <c r="AO158" t="str">
        <f t="shared" si="12"/>
        <v>26-40</v>
      </c>
      <c r="BD158">
        <v>4</v>
      </c>
      <c r="BF158" cm="1">
        <f t="array" ref="BF158">CORREL(J158:J1158,S158:S1158)</f>
        <v>-0.0464603233976429</v>
      </c>
      <c r="BH158">
        <v>3</v>
      </c>
      <c r="BI158">
        <f t="shared" si="10"/>
        <v>1.33333333333333</v>
      </c>
      <c r="BJ158">
        <f t="shared" si="11"/>
        <v>2.25</v>
      </c>
    </row>
    <row r="159" spans="1:62">
      <c r="A159" s="1">
        <v>849542973</v>
      </c>
      <c r="B159">
        <v>37</v>
      </c>
      <c r="C159" t="s">
        <v>59</v>
      </c>
      <c r="D159" t="s">
        <v>74</v>
      </c>
      <c r="E159" t="s">
        <v>86</v>
      </c>
      <c r="F159" t="s">
        <v>87</v>
      </c>
      <c r="G159" t="s">
        <v>60</v>
      </c>
      <c r="H159" t="s">
        <v>296</v>
      </c>
      <c r="I159" t="s">
        <v>124</v>
      </c>
      <c r="J159" s="2">
        <v>102.09</v>
      </c>
      <c r="K159">
        <v>3</v>
      </c>
      <c r="L159" t="s">
        <v>65</v>
      </c>
      <c r="M159">
        <v>1</v>
      </c>
      <c r="N159">
        <v>4</v>
      </c>
      <c r="O159">
        <v>0</v>
      </c>
      <c r="P159" t="s">
        <v>66</v>
      </c>
      <c r="Q159" t="s">
        <v>109</v>
      </c>
      <c r="R159">
        <v>1</v>
      </c>
      <c r="S159">
        <v>9</v>
      </c>
      <c r="T159" t="s">
        <v>79</v>
      </c>
      <c r="U159" t="s">
        <v>68</v>
      </c>
      <c r="V159" t="s">
        <v>81</v>
      </c>
      <c r="W159" s="3">
        <v>45364</v>
      </c>
      <c r="X159" t="b">
        <v>0</v>
      </c>
      <c r="Y159" t="b">
        <v>1</v>
      </c>
      <c r="Z159" t="s">
        <v>70</v>
      </c>
      <c r="AA159" t="s">
        <v>97</v>
      </c>
      <c r="AB159">
        <v>1</v>
      </c>
      <c r="AO159" t="str">
        <f t="shared" si="12"/>
        <v>26-40</v>
      </c>
      <c r="BD159">
        <v>3</v>
      </c>
      <c r="BF159" cm="1">
        <f t="array" ref="BF159">CORREL(J159:J1159,S159:S1159)</f>
        <v>-0.0455675743543701</v>
      </c>
      <c r="BH159">
        <v>9</v>
      </c>
      <c r="BI159">
        <f t="shared" si="10"/>
        <v>0.333333333333333</v>
      </c>
      <c r="BJ159">
        <f t="shared" si="11"/>
        <v>27</v>
      </c>
    </row>
    <row r="160" spans="1:62">
      <c r="A160" s="1">
        <v>223829636</v>
      </c>
      <c r="B160">
        <v>32</v>
      </c>
      <c r="C160" t="s">
        <v>73</v>
      </c>
      <c r="D160" t="s">
        <v>60</v>
      </c>
      <c r="E160" t="s">
        <v>61</v>
      </c>
      <c r="F160" t="s">
        <v>62</v>
      </c>
      <c r="G160" t="s">
        <v>74</v>
      </c>
      <c r="H160" t="s">
        <v>297</v>
      </c>
      <c r="I160" t="s">
        <v>122</v>
      </c>
      <c r="J160" s="2">
        <v>426.21</v>
      </c>
      <c r="K160">
        <v>3</v>
      </c>
      <c r="L160" t="s">
        <v>65</v>
      </c>
      <c r="M160">
        <v>1</v>
      </c>
      <c r="N160">
        <v>4</v>
      </c>
      <c r="O160">
        <v>2</v>
      </c>
      <c r="P160" t="s">
        <v>74</v>
      </c>
      <c r="Q160" t="s">
        <v>67</v>
      </c>
      <c r="R160">
        <v>2</v>
      </c>
      <c r="S160">
        <v>5</v>
      </c>
      <c r="T160" t="s">
        <v>74</v>
      </c>
      <c r="U160" t="s">
        <v>90</v>
      </c>
      <c r="V160" t="s">
        <v>96</v>
      </c>
      <c r="W160" s="3">
        <v>45400</v>
      </c>
      <c r="X160" t="b">
        <v>0</v>
      </c>
      <c r="Y160" t="b">
        <v>1</v>
      </c>
      <c r="Z160" t="s">
        <v>82</v>
      </c>
      <c r="AA160" t="s">
        <v>83</v>
      </c>
      <c r="AB160">
        <v>2</v>
      </c>
      <c r="AO160" t="str">
        <f t="shared" si="12"/>
        <v>26-40</v>
      </c>
      <c r="BD160">
        <v>3</v>
      </c>
      <c r="BF160" cm="1">
        <f t="array" ref="BF160">CORREL(J160:J1160,S160:S1160)</f>
        <v>-0.0437624437731571</v>
      </c>
      <c r="BH160">
        <v>5</v>
      </c>
      <c r="BI160">
        <f t="shared" si="10"/>
        <v>0.6</v>
      </c>
      <c r="BJ160">
        <f t="shared" si="11"/>
        <v>8.33333333333333</v>
      </c>
    </row>
    <row r="161" spans="1:62">
      <c r="A161" s="1">
        <v>897242536</v>
      </c>
      <c r="B161">
        <v>42</v>
      </c>
      <c r="C161" t="s">
        <v>73</v>
      </c>
      <c r="D161" t="s">
        <v>60</v>
      </c>
      <c r="E161" t="s">
        <v>98</v>
      </c>
      <c r="F161" t="s">
        <v>87</v>
      </c>
      <c r="G161" t="s">
        <v>74</v>
      </c>
      <c r="H161" t="s">
        <v>298</v>
      </c>
      <c r="I161" t="s">
        <v>143</v>
      </c>
      <c r="J161" s="2">
        <v>140.31</v>
      </c>
      <c r="K161">
        <v>2</v>
      </c>
      <c r="L161" t="s">
        <v>85</v>
      </c>
      <c r="M161">
        <v>2</v>
      </c>
      <c r="N161">
        <v>4</v>
      </c>
      <c r="O161">
        <v>1</v>
      </c>
      <c r="P161" t="s">
        <v>84</v>
      </c>
      <c r="Q161" t="s">
        <v>109</v>
      </c>
      <c r="R161">
        <v>2</v>
      </c>
      <c r="S161">
        <v>5</v>
      </c>
      <c r="T161" t="s">
        <v>66</v>
      </c>
      <c r="U161" t="s">
        <v>105</v>
      </c>
      <c r="V161" t="s">
        <v>110</v>
      </c>
      <c r="W161" s="3">
        <v>45433</v>
      </c>
      <c r="X161" t="b">
        <v>1</v>
      </c>
      <c r="Y161" t="b">
        <v>1</v>
      </c>
      <c r="Z161" t="s">
        <v>92</v>
      </c>
      <c r="AA161" t="s">
        <v>97</v>
      </c>
      <c r="AB161">
        <v>8</v>
      </c>
      <c r="AO161" t="str">
        <f t="shared" si="12"/>
        <v>41-60</v>
      </c>
      <c r="BD161">
        <v>2</v>
      </c>
      <c r="BF161" cm="1">
        <f t="array" ref="BF161">CORREL(J161:J1161,S161:S1161)</f>
        <v>-0.0435611551720177</v>
      </c>
      <c r="BH161">
        <v>5</v>
      </c>
      <c r="BI161">
        <f t="shared" si="10"/>
        <v>0.4</v>
      </c>
      <c r="BJ161">
        <f t="shared" si="11"/>
        <v>12.5</v>
      </c>
    </row>
    <row r="162" spans="1:62">
      <c r="A162" s="1">
        <v>853911888</v>
      </c>
      <c r="B162">
        <v>18</v>
      </c>
      <c r="C162" t="s">
        <v>59</v>
      </c>
      <c r="D162" t="s">
        <v>74</v>
      </c>
      <c r="E162" t="s">
        <v>98</v>
      </c>
      <c r="F162" t="s">
        <v>87</v>
      </c>
      <c r="G162" t="s">
        <v>60</v>
      </c>
      <c r="H162" t="s">
        <v>299</v>
      </c>
      <c r="I162" t="s">
        <v>133</v>
      </c>
      <c r="J162" s="2">
        <v>413.7</v>
      </c>
      <c r="K162">
        <v>8</v>
      </c>
      <c r="L162" t="s">
        <v>65</v>
      </c>
      <c r="M162">
        <v>3</v>
      </c>
      <c r="N162">
        <v>3</v>
      </c>
      <c r="O162">
        <v>0.3</v>
      </c>
      <c r="P162" t="s">
        <v>84</v>
      </c>
      <c r="Q162" t="s">
        <v>109</v>
      </c>
      <c r="R162">
        <v>0</v>
      </c>
      <c r="S162">
        <v>9</v>
      </c>
      <c r="T162" t="s">
        <v>74</v>
      </c>
      <c r="U162" t="s">
        <v>105</v>
      </c>
      <c r="V162" t="s">
        <v>96</v>
      </c>
      <c r="W162" s="3">
        <v>45460</v>
      </c>
      <c r="X162" t="b">
        <v>0</v>
      </c>
      <c r="Y162" t="b">
        <v>1</v>
      </c>
      <c r="Z162" t="s">
        <v>70</v>
      </c>
      <c r="AA162" t="s">
        <v>71</v>
      </c>
      <c r="AB162">
        <v>6</v>
      </c>
      <c r="AO162" t="str">
        <f t="shared" si="12"/>
        <v>18-25</v>
      </c>
      <c r="BD162">
        <v>8</v>
      </c>
      <c r="BF162" cm="1">
        <f t="array" ref="BF162">CORREL(J162:J1162,S162:S1162)</f>
        <v>-0.0437958597389574</v>
      </c>
      <c r="BH162">
        <v>9</v>
      </c>
      <c r="BI162">
        <f t="shared" si="10"/>
        <v>0.888888888888889</v>
      </c>
      <c r="BJ162">
        <f t="shared" si="11"/>
        <v>10.125</v>
      </c>
    </row>
    <row r="163" spans="1:62">
      <c r="A163" s="1">
        <v>849342483</v>
      </c>
      <c r="B163">
        <v>49</v>
      </c>
      <c r="C163" t="s">
        <v>73</v>
      </c>
      <c r="D163" t="s">
        <v>74</v>
      </c>
      <c r="E163" t="s">
        <v>98</v>
      </c>
      <c r="F163" t="s">
        <v>87</v>
      </c>
      <c r="G163" t="s">
        <v>60</v>
      </c>
      <c r="H163" t="s">
        <v>300</v>
      </c>
      <c r="I163" t="s">
        <v>143</v>
      </c>
      <c r="J163" s="2">
        <v>348.63</v>
      </c>
      <c r="K163">
        <v>4</v>
      </c>
      <c r="L163" t="s">
        <v>85</v>
      </c>
      <c r="M163">
        <v>5</v>
      </c>
      <c r="N163">
        <v>2</v>
      </c>
      <c r="O163">
        <v>0</v>
      </c>
      <c r="P163" t="s">
        <v>74</v>
      </c>
      <c r="Q163" t="s">
        <v>67</v>
      </c>
      <c r="R163">
        <v>0</v>
      </c>
      <c r="S163">
        <v>7</v>
      </c>
      <c r="T163" t="s">
        <v>66</v>
      </c>
      <c r="U163" t="s">
        <v>90</v>
      </c>
      <c r="V163" t="s">
        <v>91</v>
      </c>
      <c r="W163" s="3">
        <v>45383</v>
      </c>
      <c r="X163" t="b">
        <v>0</v>
      </c>
      <c r="Y163" t="b">
        <v>0</v>
      </c>
      <c r="Z163" t="s">
        <v>102</v>
      </c>
      <c r="AA163" t="s">
        <v>71</v>
      </c>
      <c r="AB163">
        <v>6</v>
      </c>
      <c r="AO163" t="str">
        <f t="shared" si="12"/>
        <v>41-60</v>
      </c>
      <c r="BD163">
        <v>4</v>
      </c>
      <c r="BF163" cm="1">
        <f t="array" ref="BF163">CORREL(J163:J1163,S163:S1163)</f>
        <v>-0.0454156190728689</v>
      </c>
      <c r="BH163">
        <v>7</v>
      </c>
      <c r="BI163">
        <f t="shared" si="10"/>
        <v>0.571428571428571</v>
      </c>
      <c r="BJ163">
        <f t="shared" si="11"/>
        <v>12.25</v>
      </c>
    </row>
    <row r="164" spans="1:62">
      <c r="A164" s="1">
        <v>962291698</v>
      </c>
      <c r="B164">
        <v>23</v>
      </c>
      <c r="C164" t="s">
        <v>59</v>
      </c>
      <c r="D164" t="s">
        <v>60</v>
      </c>
      <c r="E164" t="s">
        <v>98</v>
      </c>
      <c r="F164" t="s">
        <v>75</v>
      </c>
      <c r="G164" t="s">
        <v>60</v>
      </c>
      <c r="H164" t="s">
        <v>301</v>
      </c>
      <c r="I164" t="s">
        <v>120</v>
      </c>
      <c r="J164" s="2">
        <v>91.27</v>
      </c>
      <c r="K164">
        <v>7</v>
      </c>
      <c r="L164" t="s">
        <v>78</v>
      </c>
      <c r="M164">
        <v>5</v>
      </c>
      <c r="N164">
        <v>1</v>
      </c>
      <c r="O164">
        <v>0</v>
      </c>
      <c r="P164" t="s">
        <v>74</v>
      </c>
      <c r="Q164" t="s">
        <v>80</v>
      </c>
      <c r="R164">
        <v>2</v>
      </c>
      <c r="S164">
        <v>6</v>
      </c>
      <c r="T164" t="s">
        <v>66</v>
      </c>
      <c r="U164" t="s">
        <v>68</v>
      </c>
      <c r="V164" t="s">
        <v>110</v>
      </c>
      <c r="W164" s="3">
        <v>45464</v>
      </c>
      <c r="X164" t="b">
        <v>1</v>
      </c>
      <c r="Y164" t="b">
        <v>1</v>
      </c>
      <c r="Z164" t="s">
        <v>102</v>
      </c>
      <c r="AA164" t="s">
        <v>97</v>
      </c>
      <c r="AB164">
        <v>13</v>
      </c>
      <c r="AO164" t="str">
        <f t="shared" si="12"/>
        <v>18-25</v>
      </c>
      <c r="BD164">
        <v>7</v>
      </c>
      <c r="BF164" cm="1">
        <f t="array" ref="BF164">CORREL(J164:J1164,S164:S1164)</f>
        <v>-0.0457905329963785</v>
      </c>
      <c r="BH164">
        <v>6</v>
      </c>
      <c r="BI164">
        <f t="shared" si="10"/>
        <v>1.16666666666667</v>
      </c>
      <c r="BJ164">
        <f t="shared" si="11"/>
        <v>5.14285714285714</v>
      </c>
    </row>
    <row r="165" spans="1:62">
      <c r="A165" s="1">
        <v>369486994</v>
      </c>
      <c r="B165">
        <v>29</v>
      </c>
      <c r="C165" t="s">
        <v>59</v>
      </c>
      <c r="D165" t="s">
        <v>74</v>
      </c>
      <c r="E165" t="s">
        <v>103</v>
      </c>
      <c r="F165" t="s">
        <v>62</v>
      </c>
      <c r="G165" t="s">
        <v>74</v>
      </c>
      <c r="H165" t="s">
        <v>302</v>
      </c>
      <c r="I165" t="s">
        <v>118</v>
      </c>
      <c r="J165" s="2">
        <v>359.94</v>
      </c>
      <c r="K165">
        <v>11</v>
      </c>
      <c r="L165" t="s">
        <v>65</v>
      </c>
      <c r="M165">
        <v>2</v>
      </c>
      <c r="N165">
        <v>5</v>
      </c>
      <c r="O165">
        <v>2</v>
      </c>
      <c r="P165" t="s">
        <v>66</v>
      </c>
      <c r="Q165" t="s">
        <v>109</v>
      </c>
      <c r="R165">
        <v>1</v>
      </c>
      <c r="S165">
        <v>8</v>
      </c>
      <c r="T165" t="s">
        <v>84</v>
      </c>
      <c r="U165" t="s">
        <v>90</v>
      </c>
      <c r="V165" t="s">
        <v>110</v>
      </c>
      <c r="W165" s="3">
        <v>45645</v>
      </c>
      <c r="X165" t="b">
        <v>0</v>
      </c>
      <c r="Y165" t="b">
        <v>1</v>
      </c>
      <c r="Z165" t="s">
        <v>82</v>
      </c>
      <c r="AA165" t="s">
        <v>97</v>
      </c>
      <c r="AB165">
        <v>9</v>
      </c>
      <c r="AO165" t="str">
        <f t="shared" si="12"/>
        <v>26-40</v>
      </c>
      <c r="BD165">
        <v>11</v>
      </c>
      <c r="BF165" cm="1">
        <f t="array" ref="BF165">CORREL(J165:J1165,S165:S1165)</f>
        <v>-0.0455487197253098</v>
      </c>
      <c r="BH165">
        <v>8</v>
      </c>
      <c r="BI165">
        <f t="shared" si="10"/>
        <v>1.375</v>
      </c>
      <c r="BJ165">
        <f t="shared" si="11"/>
        <v>5.81818181818182</v>
      </c>
    </row>
    <row r="166" spans="1:62">
      <c r="A166" s="1">
        <v>431729431</v>
      </c>
      <c r="B166">
        <v>25</v>
      </c>
      <c r="C166" t="s">
        <v>73</v>
      </c>
      <c r="D166" t="s">
        <v>60</v>
      </c>
      <c r="E166" t="s">
        <v>103</v>
      </c>
      <c r="F166" t="s">
        <v>75</v>
      </c>
      <c r="G166" t="s">
        <v>60</v>
      </c>
      <c r="H166" t="s">
        <v>303</v>
      </c>
      <c r="I166" t="s">
        <v>64</v>
      </c>
      <c r="J166" s="2">
        <v>138.2</v>
      </c>
      <c r="K166">
        <v>8</v>
      </c>
      <c r="L166" t="s">
        <v>78</v>
      </c>
      <c r="M166">
        <v>1</v>
      </c>
      <c r="N166">
        <v>2</v>
      </c>
      <c r="O166">
        <v>2</v>
      </c>
      <c r="P166" t="s">
        <v>74</v>
      </c>
      <c r="Q166" t="s">
        <v>80</v>
      </c>
      <c r="R166">
        <v>0</v>
      </c>
      <c r="S166">
        <v>6</v>
      </c>
      <c r="T166" t="s">
        <v>84</v>
      </c>
      <c r="U166" t="s">
        <v>105</v>
      </c>
      <c r="V166" t="s">
        <v>91</v>
      </c>
      <c r="W166" s="3">
        <v>45353</v>
      </c>
      <c r="X166" t="b">
        <v>0</v>
      </c>
      <c r="Y166" t="b">
        <v>1</v>
      </c>
      <c r="Z166" t="s">
        <v>70</v>
      </c>
      <c r="AA166" t="s">
        <v>71</v>
      </c>
      <c r="AB166">
        <v>12</v>
      </c>
      <c r="AO166" t="str">
        <f t="shared" si="12"/>
        <v>18-25</v>
      </c>
      <c r="BD166">
        <v>8</v>
      </c>
      <c r="BF166" cm="1">
        <f t="array" ref="BF166">CORREL(J166:J1166,S166:S1166)</f>
        <v>-0.0462680038433573</v>
      </c>
      <c r="BH166">
        <v>6</v>
      </c>
      <c r="BI166">
        <f t="shared" si="10"/>
        <v>1.33333333333333</v>
      </c>
      <c r="BJ166">
        <f t="shared" si="11"/>
        <v>4.5</v>
      </c>
    </row>
    <row r="167" spans="1:62">
      <c r="A167" s="1">
        <v>536905759</v>
      </c>
      <c r="B167">
        <v>38</v>
      </c>
      <c r="C167" t="s">
        <v>224</v>
      </c>
      <c r="D167" t="s">
        <v>74</v>
      </c>
      <c r="E167" t="s">
        <v>103</v>
      </c>
      <c r="F167" t="s">
        <v>75</v>
      </c>
      <c r="G167" t="s">
        <v>74</v>
      </c>
      <c r="H167" t="s">
        <v>304</v>
      </c>
      <c r="I167" t="s">
        <v>95</v>
      </c>
      <c r="J167" s="2">
        <v>196.33</v>
      </c>
      <c r="K167">
        <v>11</v>
      </c>
      <c r="L167" t="s">
        <v>85</v>
      </c>
      <c r="M167">
        <v>4</v>
      </c>
      <c r="N167">
        <v>3</v>
      </c>
      <c r="O167">
        <v>1</v>
      </c>
      <c r="P167" t="s">
        <v>79</v>
      </c>
      <c r="Q167" t="s">
        <v>80</v>
      </c>
      <c r="R167">
        <v>0</v>
      </c>
      <c r="S167">
        <v>5</v>
      </c>
      <c r="T167" t="s">
        <v>66</v>
      </c>
      <c r="U167" t="s">
        <v>105</v>
      </c>
      <c r="V167" t="s">
        <v>91</v>
      </c>
      <c r="W167" s="3">
        <v>45472</v>
      </c>
      <c r="X167" t="b">
        <v>1</v>
      </c>
      <c r="Y167" t="b">
        <v>1</v>
      </c>
      <c r="Z167" t="s">
        <v>102</v>
      </c>
      <c r="AA167" t="s">
        <v>83</v>
      </c>
      <c r="AB167">
        <v>11</v>
      </c>
      <c r="AO167" t="str">
        <f t="shared" si="12"/>
        <v>26-40</v>
      </c>
      <c r="BD167">
        <v>11</v>
      </c>
      <c r="BF167" cm="1">
        <f t="array" ref="BF167">CORREL(J167:J1167,S167:S1167)</f>
        <v>-0.0460770886207243</v>
      </c>
      <c r="BH167">
        <v>5</v>
      </c>
      <c r="BI167">
        <f t="shared" si="10"/>
        <v>2.2</v>
      </c>
      <c r="BJ167">
        <f t="shared" si="11"/>
        <v>2.27272727272727</v>
      </c>
    </row>
    <row r="168" spans="1:62">
      <c r="A168" s="4" t="s">
        <v>305</v>
      </c>
      <c r="B168">
        <v>32</v>
      </c>
      <c r="C168" t="s">
        <v>59</v>
      </c>
      <c r="D168" t="s">
        <v>60</v>
      </c>
      <c r="E168" t="s">
        <v>98</v>
      </c>
      <c r="F168" t="s">
        <v>62</v>
      </c>
      <c r="G168" t="s">
        <v>60</v>
      </c>
      <c r="H168" t="s">
        <v>247</v>
      </c>
      <c r="I168" t="s">
        <v>129</v>
      </c>
      <c r="J168" s="2">
        <v>249.24</v>
      </c>
      <c r="K168">
        <v>8</v>
      </c>
      <c r="L168" t="s">
        <v>78</v>
      </c>
      <c r="M168">
        <v>4</v>
      </c>
      <c r="N168">
        <v>3</v>
      </c>
      <c r="O168">
        <v>1</v>
      </c>
      <c r="P168" t="s">
        <v>79</v>
      </c>
      <c r="Q168" t="s">
        <v>67</v>
      </c>
      <c r="R168">
        <v>2</v>
      </c>
      <c r="S168">
        <v>3</v>
      </c>
      <c r="T168" t="s">
        <v>74</v>
      </c>
      <c r="U168" t="s">
        <v>90</v>
      </c>
      <c r="V168" t="s">
        <v>110</v>
      </c>
      <c r="W168" s="3">
        <v>45533</v>
      </c>
      <c r="X168" t="b">
        <v>0</v>
      </c>
      <c r="Y168" t="b">
        <v>1</v>
      </c>
      <c r="Z168" t="s">
        <v>70</v>
      </c>
      <c r="AA168" t="s">
        <v>83</v>
      </c>
      <c r="AB168">
        <v>7</v>
      </c>
      <c r="AO168" t="str">
        <f t="shared" si="12"/>
        <v>26-40</v>
      </c>
      <c r="BD168">
        <v>8</v>
      </c>
      <c r="BF168" cm="1">
        <f t="array" ref="BF168">CORREL(J168:J1168,S168:S1168)</f>
        <v>-0.0462060570914865</v>
      </c>
      <c r="BH168">
        <v>3</v>
      </c>
      <c r="BI168">
        <f t="shared" si="10"/>
        <v>2.66666666666667</v>
      </c>
      <c r="BJ168">
        <f t="shared" si="11"/>
        <v>1.125</v>
      </c>
    </row>
    <row r="169" spans="1:62">
      <c r="A169" s="1">
        <v>103306387</v>
      </c>
      <c r="B169">
        <v>45</v>
      </c>
      <c r="C169" t="s">
        <v>73</v>
      </c>
      <c r="D169" t="s">
        <v>74</v>
      </c>
      <c r="E169" t="s">
        <v>103</v>
      </c>
      <c r="F169" t="s">
        <v>75</v>
      </c>
      <c r="G169" t="s">
        <v>74</v>
      </c>
      <c r="H169" t="s">
        <v>306</v>
      </c>
      <c r="I169" t="s">
        <v>100</v>
      </c>
      <c r="J169" s="2">
        <v>129.1</v>
      </c>
      <c r="K169">
        <v>12</v>
      </c>
      <c r="L169" t="s">
        <v>65</v>
      </c>
      <c r="M169">
        <v>5</v>
      </c>
      <c r="N169">
        <v>3</v>
      </c>
      <c r="O169">
        <v>2</v>
      </c>
      <c r="P169" t="s">
        <v>84</v>
      </c>
      <c r="Q169" t="s">
        <v>80</v>
      </c>
      <c r="R169">
        <v>0</v>
      </c>
      <c r="S169">
        <v>8</v>
      </c>
      <c r="T169" t="s">
        <v>74</v>
      </c>
      <c r="U169" t="s">
        <v>105</v>
      </c>
      <c r="V169" t="s">
        <v>69</v>
      </c>
      <c r="W169" s="3">
        <v>45397</v>
      </c>
      <c r="X169" t="b">
        <v>1</v>
      </c>
      <c r="Y169" t="b">
        <v>0</v>
      </c>
      <c r="Z169" t="s">
        <v>102</v>
      </c>
      <c r="AA169" t="s">
        <v>71</v>
      </c>
      <c r="AB169">
        <v>7</v>
      </c>
      <c r="AO169" t="str">
        <f t="shared" si="12"/>
        <v>41-60</v>
      </c>
      <c r="BD169">
        <v>12</v>
      </c>
      <c r="BF169" cm="1">
        <f t="array" ref="BF169">CORREL(J169:J1169,S169:S1169)</f>
        <v>-0.0464211494769421</v>
      </c>
      <c r="BH169">
        <v>8</v>
      </c>
      <c r="BI169">
        <f t="shared" si="10"/>
        <v>1.5</v>
      </c>
      <c r="BJ169">
        <f t="shared" si="11"/>
        <v>5.33333333333333</v>
      </c>
    </row>
    <row r="170" spans="1:62">
      <c r="A170" s="1">
        <v>875908963</v>
      </c>
      <c r="B170">
        <v>45</v>
      </c>
      <c r="C170" t="s">
        <v>59</v>
      </c>
      <c r="D170" t="s">
        <v>74</v>
      </c>
      <c r="E170" t="s">
        <v>61</v>
      </c>
      <c r="F170" t="s">
        <v>87</v>
      </c>
      <c r="G170" t="s">
        <v>74</v>
      </c>
      <c r="H170" t="s">
        <v>307</v>
      </c>
      <c r="I170" t="s">
        <v>135</v>
      </c>
      <c r="J170" s="2">
        <v>112.69</v>
      </c>
      <c r="K170">
        <v>10</v>
      </c>
      <c r="L170" t="s">
        <v>78</v>
      </c>
      <c r="M170">
        <v>1</v>
      </c>
      <c r="N170">
        <v>4</v>
      </c>
      <c r="O170">
        <v>0</v>
      </c>
      <c r="P170" t="s">
        <v>74</v>
      </c>
      <c r="Q170" t="s">
        <v>80</v>
      </c>
      <c r="R170">
        <v>0</v>
      </c>
      <c r="S170">
        <v>7</v>
      </c>
      <c r="T170" t="s">
        <v>79</v>
      </c>
      <c r="U170" t="s">
        <v>90</v>
      </c>
      <c r="V170" t="s">
        <v>91</v>
      </c>
      <c r="W170" s="3">
        <v>45531</v>
      </c>
      <c r="X170" t="b">
        <v>0</v>
      </c>
      <c r="Y170" t="b">
        <v>1</v>
      </c>
      <c r="Z170" t="s">
        <v>70</v>
      </c>
      <c r="AA170" t="s">
        <v>83</v>
      </c>
      <c r="AB170">
        <v>1</v>
      </c>
      <c r="AO170" t="str">
        <f t="shared" si="12"/>
        <v>41-60</v>
      </c>
      <c r="BD170">
        <v>10</v>
      </c>
      <c r="BF170" cm="1">
        <f t="array" ref="BF170">CORREL(J170:J1170,S170:S1170)</f>
        <v>-0.0453216968484754</v>
      </c>
      <c r="BH170">
        <v>7</v>
      </c>
      <c r="BI170">
        <f t="shared" si="10"/>
        <v>1.42857142857143</v>
      </c>
      <c r="BJ170">
        <f t="shared" si="11"/>
        <v>4.9</v>
      </c>
    </row>
    <row r="171" spans="1:62">
      <c r="A171" s="1">
        <v>479312642</v>
      </c>
      <c r="B171">
        <v>46</v>
      </c>
      <c r="C171" t="s">
        <v>73</v>
      </c>
      <c r="D171" t="s">
        <v>60</v>
      </c>
      <c r="E171" t="s">
        <v>98</v>
      </c>
      <c r="F171" t="s">
        <v>62</v>
      </c>
      <c r="G171" t="s">
        <v>74</v>
      </c>
      <c r="H171" t="s">
        <v>308</v>
      </c>
      <c r="I171" t="s">
        <v>174</v>
      </c>
      <c r="J171" s="2">
        <v>267.85</v>
      </c>
      <c r="K171">
        <v>5</v>
      </c>
      <c r="L171" t="s">
        <v>85</v>
      </c>
      <c r="M171">
        <v>5</v>
      </c>
      <c r="N171">
        <v>2</v>
      </c>
      <c r="O171">
        <v>2</v>
      </c>
      <c r="P171" t="s">
        <v>79</v>
      </c>
      <c r="Q171" t="s">
        <v>67</v>
      </c>
      <c r="R171">
        <v>1</v>
      </c>
      <c r="S171">
        <v>5</v>
      </c>
      <c r="T171" t="s">
        <v>74</v>
      </c>
      <c r="U171" t="s">
        <v>90</v>
      </c>
      <c r="V171" t="s">
        <v>69</v>
      </c>
      <c r="W171" s="3">
        <v>45371</v>
      </c>
      <c r="X171" t="b">
        <v>0</v>
      </c>
      <c r="Y171" t="b">
        <v>1</v>
      </c>
      <c r="Z171" t="s">
        <v>70</v>
      </c>
      <c r="AA171" t="s">
        <v>83</v>
      </c>
      <c r="AB171">
        <v>7</v>
      </c>
      <c r="AO171" t="str">
        <f t="shared" si="12"/>
        <v>41-60</v>
      </c>
      <c r="BD171">
        <v>5</v>
      </c>
      <c r="BF171" cm="1">
        <f t="array" ref="BF171">CORREL(J171:J1171,S171:S1171)</f>
        <v>-0.0445931784793788</v>
      </c>
      <c r="BH171">
        <v>5</v>
      </c>
      <c r="BI171">
        <f t="shared" si="10"/>
        <v>1</v>
      </c>
      <c r="BJ171">
        <f t="shared" si="11"/>
        <v>5</v>
      </c>
    </row>
    <row r="172" spans="1:62">
      <c r="A172" s="1">
        <v>765016422</v>
      </c>
      <c r="B172">
        <v>24</v>
      </c>
      <c r="C172" t="s">
        <v>73</v>
      </c>
      <c r="D172" t="s">
        <v>60</v>
      </c>
      <c r="E172" t="s">
        <v>103</v>
      </c>
      <c r="F172" t="s">
        <v>75</v>
      </c>
      <c r="G172" t="s">
        <v>60</v>
      </c>
      <c r="H172" t="s">
        <v>309</v>
      </c>
      <c r="I172" t="s">
        <v>95</v>
      </c>
      <c r="J172" s="2">
        <v>205.36</v>
      </c>
      <c r="K172">
        <v>12</v>
      </c>
      <c r="L172" t="s">
        <v>85</v>
      </c>
      <c r="M172">
        <v>1</v>
      </c>
      <c r="N172">
        <v>5</v>
      </c>
      <c r="O172">
        <v>2</v>
      </c>
      <c r="P172" t="s">
        <v>74</v>
      </c>
      <c r="Q172" t="s">
        <v>109</v>
      </c>
      <c r="R172">
        <v>0</v>
      </c>
      <c r="S172">
        <v>1</v>
      </c>
      <c r="T172" t="s">
        <v>84</v>
      </c>
      <c r="U172" t="s">
        <v>68</v>
      </c>
      <c r="V172" t="s">
        <v>69</v>
      </c>
      <c r="W172" s="3">
        <v>45409</v>
      </c>
      <c r="X172" t="b">
        <v>0</v>
      </c>
      <c r="Y172" t="b">
        <v>0</v>
      </c>
      <c r="Z172" t="s">
        <v>92</v>
      </c>
      <c r="AA172" t="s">
        <v>97</v>
      </c>
      <c r="AB172">
        <v>5</v>
      </c>
      <c r="AO172" t="str">
        <f t="shared" si="12"/>
        <v>18-25</v>
      </c>
      <c r="BD172">
        <v>12</v>
      </c>
      <c r="BF172" cm="1">
        <f t="array" ref="BF172">CORREL(J172:J1172,S172:S1172)</f>
        <v>-0.0446037147728223</v>
      </c>
      <c r="BH172">
        <v>1</v>
      </c>
      <c r="BI172">
        <f t="shared" si="10"/>
        <v>12</v>
      </c>
      <c r="BJ172">
        <f t="shared" si="11"/>
        <v>0.0833333333333333</v>
      </c>
    </row>
    <row r="173" spans="1:62">
      <c r="A173" s="1">
        <v>392742175</v>
      </c>
      <c r="B173">
        <v>48</v>
      </c>
      <c r="C173" t="s">
        <v>188</v>
      </c>
      <c r="D173" t="s">
        <v>74</v>
      </c>
      <c r="E173" t="s">
        <v>103</v>
      </c>
      <c r="F173" t="s">
        <v>87</v>
      </c>
      <c r="G173" t="s">
        <v>74</v>
      </c>
      <c r="H173" t="s">
        <v>310</v>
      </c>
      <c r="I173" t="s">
        <v>147</v>
      </c>
      <c r="J173" s="2">
        <v>79.1</v>
      </c>
      <c r="K173">
        <v>10</v>
      </c>
      <c r="L173" t="s">
        <v>78</v>
      </c>
      <c r="M173">
        <v>5</v>
      </c>
      <c r="N173">
        <v>3</v>
      </c>
      <c r="O173">
        <v>1</v>
      </c>
      <c r="P173" t="s">
        <v>66</v>
      </c>
      <c r="Q173" t="s">
        <v>80</v>
      </c>
      <c r="R173">
        <v>0</v>
      </c>
      <c r="S173">
        <v>9</v>
      </c>
      <c r="T173" t="s">
        <v>79</v>
      </c>
      <c r="U173" t="s">
        <v>68</v>
      </c>
      <c r="V173" t="s">
        <v>91</v>
      </c>
      <c r="W173" s="3">
        <v>45417</v>
      </c>
      <c r="X173" t="b">
        <v>1</v>
      </c>
      <c r="Y173" t="b">
        <v>0</v>
      </c>
      <c r="Z173" t="s">
        <v>70</v>
      </c>
      <c r="AA173" t="s">
        <v>97</v>
      </c>
      <c r="AB173">
        <v>4</v>
      </c>
      <c r="AO173" t="str">
        <f t="shared" si="12"/>
        <v>41-60</v>
      </c>
      <c r="BD173">
        <v>10</v>
      </c>
      <c r="BF173" cm="1">
        <f t="array" ref="BF173">CORREL(J173:J1173,S173:S1173)</f>
        <v>-0.0456588542838457</v>
      </c>
      <c r="BH173">
        <v>9</v>
      </c>
      <c r="BI173">
        <f t="shared" si="10"/>
        <v>1.11111111111111</v>
      </c>
      <c r="BJ173">
        <f t="shared" si="11"/>
        <v>8.1</v>
      </c>
    </row>
    <row r="174" spans="1:62">
      <c r="A174" s="1">
        <v>624935282</v>
      </c>
      <c r="B174">
        <v>35</v>
      </c>
      <c r="C174" t="s">
        <v>73</v>
      </c>
      <c r="D174" t="s">
        <v>74</v>
      </c>
      <c r="E174" t="s">
        <v>98</v>
      </c>
      <c r="F174" t="s">
        <v>75</v>
      </c>
      <c r="G174" t="s">
        <v>60</v>
      </c>
      <c r="H174" t="s">
        <v>311</v>
      </c>
      <c r="I174" t="s">
        <v>122</v>
      </c>
      <c r="J174" s="2">
        <v>256.63</v>
      </c>
      <c r="K174">
        <v>12</v>
      </c>
      <c r="L174" t="s">
        <v>78</v>
      </c>
      <c r="M174">
        <v>1</v>
      </c>
      <c r="N174">
        <v>4</v>
      </c>
      <c r="O174">
        <v>0</v>
      </c>
      <c r="P174" t="s">
        <v>74</v>
      </c>
      <c r="Q174" t="s">
        <v>67</v>
      </c>
      <c r="R174">
        <v>2</v>
      </c>
      <c r="S174">
        <v>2</v>
      </c>
      <c r="T174" t="s">
        <v>66</v>
      </c>
      <c r="U174" t="s">
        <v>90</v>
      </c>
      <c r="V174" t="s">
        <v>91</v>
      </c>
      <c r="W174" s="3">
        <v>45459</v>
      </c>
      <c r="X174" t="b">
        <v>1</v>
      </c>
      <c r="Y174" t="b">
        <v>1</v>
      </c>
      <c r="Z174" t="s">
        <v>92</v>
      </c>
      <c r="AA174" t="s">
        <v>83</v>
      </c>
      <c r="AB174">
        <v>10</v>
      </c>
      <c r="AO174" t="str">
        <f t="shared" si="12"/>
        <v>26-40</v>
      </c>
      <c r="BD174">
        <v>12</v>
      </c>
      <c r="BF174" cm="1">
        <f t="array" ref="BF174">CORREL(J174:J1174,S174:S1174)</f>
        <v>-0.0435738430526445</v>
      </c>
      <c r="BH174">
        <v>2</v>
      </c>
      <c r="BI174">
        <f t="shared" si="10"/>
        <v>6</v>
      </c>
      <c r="BJ174">
        <f t="shared" si="11"/>
        <v>0.333333333333333</v>
      </c>
    </row>
    <row r="175" spans="1:62">
      <c r="A175" s="1">
        <v>188417253</v>
      </c>
      <c r="B175">
        <v>50</v>
      </c>
      <c r="C175" t="s">
        <v>59</v>
      </c>
      <c r="D175" t="s">
        <v>74</v>
      </c>
      <c r="E175" t="s">
        <v>103</v>
      </c>
      <c r="F175" t="s">
        <v>75</v>
      </c>
      <c r="G175" t="s">
        <v>60</v>
      </c>
      <c r="H175" t="s">
        <v>312</v>
      </c>
      <c r="I175" t="s">
        <v>107</v>
      </c>
      <c r="J175" s="2">
        <v>409.98</v>
      </c>
      <c r="K175">
        <v>12</v>
      </c>
      <c r="L175" t="s">
        <v>65</v>
      </c>
      <c r="M175">
        <v>5</v>
      </c>
      <c r="N175">
        <v>4</v>
      </c>
      <c r="O175">
        <v>0</v>
      </c>
      <c r="P175" t="s">
        <v>66</v>
      </c>
      <c r="Q175" t="s">
        <v>80</v>
      </c>
      <c r="R175">
        <v>2</v>
      </c>
      <c r="S175">
        <v>1</v>
      </c>
      <c r="T175" t="s">
        <v>79</v>
      </c>
      <c r="U175" t="s">
        <v>105</v>
      </c>
      <c r="V175" t="s">
        <v>81</v>
      </c>
      <c r="W175" s="3">
        <v>45580</v>
      </c>
      <c r="X175" t="b">
        <v>1</v>
      </c>
      <c r="Y175" t="b">
        <v>0</v>
      </c>
      <c r="Z175" t="s">
        <v>82</v>
      </c>
      <c r="AA175" t="s">
        <v>97</v>
      </c>
      <c r="AB175">
        <v>8</v>
      </c>
      <c r="AO175" t="str">
        <f t="shared" si="12"/>
        <v>41-60</v>
      </c>
      <c r="BD175">
        <v>12</v>
      </c>
      <c r="BF175" cm="1">
        <f t="array" ref="BF175">CORREL(J175:J1175,S175:S1175)</f>
        <v>-0.0438120440354161</v>
      </c>
      <c r="BH175">
        <v>1</v>
      </c>
      <c r="BI175">
        <f t="shared" si="10"/>
        <v>12</v>
      </c>
      <c r="BJ175">
        <f t="shared" si="11"/>
        <v>0.0833333333333333</v>
      </c>
    </row>
    <row r="176" spans="1:62">
      <c r="A176" s="1">
        <v>180975707</v>
      </c>
      <c r="B176">
        <v>34</v>
      </c>
      <c r="C176" t="s">
        <v>73</v>
      </c>
      <c r="D176" t="s">
        <v>60</v>
      </c>
      <c r="E176" t="s">
        <v>98</v>
      </c>
      <c r="F176" t="s">
        <v>75</v>
      </c>
      <c r="G176" t="s">
        <v>74</v>
      </c>
      <c r="H176" t="s">
        <v>313</v>
      </c>
      <c r="I176" t="s">
        <v>113</v>
      </c>
      <c r="J176" s="2">
        <v>291.6</v>
      </c>
      <c r="K176">
        <v>2</v>
      </c>
      <c r="L176" t="s">
        <v>78</v>
      </c>
      <c r="M176">
        <v>3</v>
      </c>
      <c r="N176">
        <v>3</v>
      </c>
      <c r="O176">
        <v>2</v>
      </c>
      <c r="P176" t="s">
        <v>74</v>
      </c>
      <c r="Q176" t="s">
        <v>67</v>
      </c>
      <c r="R176">
        <v>0</v>
      </c>
      <c r="S176">
        <v>7</v>
      </c>
      <c r="T176" t="s">
        <v>66</v>
      </c>
      <c r="U176" t="s">
        <v>105</v>
      </c>
      <c r="V176" t="s">
        <v>110</v>
      </c>
      <c r="W176" s="3">
        <v>45505</v>
      </c>
      <c r="X176" t="b">
        <v>0</v>
      </c>
      <c r="Y176" t="b">
        <v>1</v>
      </c>
      <c r="Z176" t="s">
        <v>70</v>
      </c>
      <c r="AA176" t="s">
        <v>83</v>
      </c>
      <c r="AB176">
        <v>3</v>
      </c>
      <c r="AO176" t="str">
        <f t="shared" si="12"/>
        <v>26-40</v>
      </c>
      <c r="BD176">
        <v>2</v>
      </c>
      <c r="BF176" cm="1">
        <f t="array" ref="BF176">CORREL(J176:J1176,S176:S1176)</f>
        <v>-0.0419592883748875</v>
      </c>
      <c r="BH176">
        <v>7</v>
      </c>
      <c r="BI176">
        <f t="shared" si="10"/>
        <v>0.285714285714286</v>
      </c>
      <c r="BJ176">
        <f t="shared" si="11"/>
        <v>24.5</v>
      </c>
    </row>
    <row r="177" spans="1:62">
      <c r="A177" s="1">
        <v>837925141</v>
      </c>
      <c r="B177">
        <v>50</v>
      </c>
      <c r="C177" t="s">
        <v>59</v>
      </c>
      <c r="D177" t="s">
        <v>60</v>
      </c>
      <c r="E177" t="s">
        <v>86</v>
      </c>
      <c r="F177" t="s">
        <v>62</v>
      </c>
      <c r="G177" t="s">
        <v>60</v>
      </c>
      <c r="H177" t="s">
        <v>314</v>
      </c>
      <c r="I177" t="s">
        <v>95</v>
      </c>
      <c r="J177" s="2">
        <v>101.7</v>
      </c>
      <c r="K177">
        <v>7</v>
      </c>
      <c r="L177" t="s">
        <v>85</v>
      </c>
      <c r="M177">
        <v>3</v>
      </c>
      <c r="N177">
        <v>4</v>
      </c>
      <c r="O177">
        <v>2</v>
      </c>
      <c r="P177" t="s">
        <v>79</v>
      </c>
      <c r="Q177" t="s">
        <v>80</v>
      </c>
      <c r="R177">
        <v>2</v>
      </c>
      <c r="S177">
        <v>2</v>
      </c>
      <c r="T177" t="s">
        <v>66</v>
      </c>
      <c r="U177" t="s">
        <v>68</v>
      </c>
      <c r="V177" t="s">
        <v>91</v>
      </c>
      <c r="W177" s="3">
        <v>45468</v>
      </c>
      <c r="X177" t="b">
        <v>0</v>
      </c>
      <c r="Y177" t="b">
        <v>1</v>
      </c>
      <c r="Z177" t="s">
        <v>82</v>
      </c>
      <c r="AA177" t="s">
        <v>83</v>
      </c>
      <c r="AB177">
        <v>4</v>
      </c>
      <c r="AO177" t="str">
        <f t="shared" si="12"/>
        <v>41-60</v>
      </c>
      <c r="BD177">
        <v>7</v>
      </c>
      <c r="BF177" cm="1">
        <f t="array" ref="BF177">CORREL(J177:J1177,S177:S1177)</f>
        <v>-0.0420497722192055</v>
      </c>
      <c r="BH177">
        <v>2</v>
      </c>
      <c r="BI177">
        <f t="shared" si="10"/>
        <v>3.5</v>
      </c>
      <c r="BJ177">
        <f t="shared" si="11"/>
        <v>0.571428571428571</v>
      </c>
    </row>
    <row r="178" spans="1:62">
      <c r="A178" s="1">
        <v>650362410</v>
      </c>
      <c r="B178">
        <v>50</v>
      </c>
      <c r="C178" t="s">
        <v>59</v>
      </c>
      <c r="D178" t="s">
        <v>60</v>
      </c>
      <c r="E178" t="s">
        <v>86</v>
      </c>
      <c r="F178" t="s">
        <v>75</v>
      </c>
      <c r="G178" t="s">
        <v>60</v>
      </c>
      <c r="H178" t="s">
        <v>315</v>
      </c>
      <c r="I178" t="s">
        <v>122</v>
      </c>
      <c r="J178" s="2">
        <v>369.73</v>
      </c>
      <c r="K178">
        <v>2</v>
      </c>
      <c r="L178" t="s">
        <v>85</v>
      </c>
      <c r="M178">
        <v>1</v>
      </c>
      <c r="N178">
        <v>2</v>
      </c>
      <c r="O178">
        <v>2</v>
      </c>
      <c r="P178" t="s">
        <v>66</v>
      </c>
      <c r="Q178" t="s">
        <v>80</v>
      </c>
      <c r="R178">
        <v>0</v>
      </c>
      <c r="S178">
        <v>3</v>
      </c>
      <c r="T178" t="s">
        <v>66</v>
      </c>
      <c r="U178" t="s">
        <v>68</v>
      </c>
      <c r="V178" t="s">
        <v>91</v>
      </c>
      <c r="W178" s="3">
        <v>45326</v>
      </c>
      <c r="X178" t="b">
        <v>1</v>
      </c>
      <c r="Y178" t="b">
        <v>1</v>
      </c>
      <c r="Z178" t="s">
        <v>82</v>
      </c>
      <c r="AA178" t="s">
        <v>71</v>
      </c>
      <c r="AB178">
        <v>12</v>
      </c>
      <c r="AO178" t="str">
        <f t="shared" si="12"/>
        <v>41-60</v>
      </c>
      <c r="BD178">
        <v>2</v>
      </c>
      <c r="BF178" cm="1">
        <f t="array" ref="BF178">CORREL(J178:J1178,S178:S1178)</f>
        <v>-0.0440648756754879</v>
      </c>
      <c r="BH178">
        <v>3</v>
      </c>
      <c r="BI178">
        <f t="shared" si="10"/>
        <v>0.666666666666667</v>
      </c>
      <c r="BJ178">
        <f t="shared" si="11"/>
        <v>4.5</v>
      </c>
    </row>
    <row r="179" spans="1:62">
      <c r="A179" s="1">
        <v>675939579</v>
      </c>
      <c r="B179">
        <v>46</v>
      </c>
      <c r="C179" t="s">
        <v>73</v>
      </c>
      <c r="D179" t="s">
        <v>60</v>
      </c>
      <c r="E179" t="s">
        <v>86</v>
      </c>
      <c r="F179" t="s">
        <v>62</v>
      </c>
      <c r="G179" t="s">
        <v>74</v>
      </c>
      <c r="H179" t="s">
        <v>316</v>
      </c>
      <c r="I179" t="s">
        <v>135</v>
      </c>
      <c r="J179" s="2">
        <v>71</v>
      </c>
      <c r="K179">
        <v>12</v>
      </c>
      <c r="L179" t="s">
        <v>85</v>
      </c>
      <c r="M179">
        <v>1</v>
      </c>
      <c r="N179">
        <v>5</v>
      </c>
      <c r="O179">
        <v>2</v>
      </c>
      <c r="P179" t="s">
        <v>74</v>
      </c>
      <c r="Q179" t="s">
        <v>80</v>
      </c>
      <c r="R179">
        <v>2</v>
      </c>
      <c r="S179">
        <v>9</v>
      </c>
      <c r="T179" t="s">
        <v>84</v>
      </c>
      <c r="U179" t="s">
        <v>90</v>
      </c>
      <c r="V179" t="s">
        <v>110</v>
      </c>
      <c r="W179" s="3">
        <v>45469</v>
      </c>
      <c r="X179" t="b">
        <v>0</v>
      </c>
      <c r="Y179" t="b">
        <v>0</v>
      </c>
      <c r="Z179" t="s">
        <v>82</v>
      </c>
      <c r="AA179" t="s">
        <v>71</v>
      </c>
      <c r="AB179">
        <v>13</v>
      </c>
      <c r="AO179" t="str">
        <f t="shared" si="12"/>
        <v>41-60</v>
      </c>
      <c r="BD179">
        <v>12</v>
      </c>
      <c r="BF179" cm="1">
        <f t="array" ref="BF179">CORREL(J179:J1179,S179:S1179)</f>
        <v>-0.0433365349226952</v>
      </c>
      <c r="BH179">
        <v>9</v>
      </c>
      <c r="BI179">
        <f t="shared" si="10"/>
        <v>1.33333333333333</v>
      </c>
      <c r="BJ179">
        <f t="shared" si="11"/>
        <v>6.75</v>
      </c>
    </row>
    <row r="180" spans="1:62">
      <c r="A180" s="1">
        <v>334846674</v>
      </c>
      <c r="B180">
        <v>47</v>
      </c>
      <c r="C180" t="s">
        <v>73</v>
      </c>
      <c r="D180" t="s">
        <v>60</v>
      </c>
      <c r="E180" t="s">
        <v>86</v>
      </c>
      <c r="F180" t="s">
        <v>87</v>
      </c>
      <c r="G180" t="s">
        <v>60</v>
      </c>
      <c r="H180" t="s">
        <v>317</v>
      </c>
      <c r="I180" t="s">
        <v>129</v>
      </c>
      <c r="J180" s="2">
        <v>280.05</v>
      </c>
      <c r="K180">
        <v>10</v>
      </c>
      <c r="L180" t="s">
        <v>78</v>
      </c>
      <c r="M180">
        <v>4</v>
      </c>
      <c r="N180">
        <v>1</v>
      </c>
      <c r="O180">
        <v>2</v>
      </c>
      <c r="P180" t="s">
        <v>79</v>
      </c>
      <c r="Q180" t="s">
        <v>109</v>
      </c>
      <c r="R180">
        <v>1</v>
      </c>
      <c r="S180">
        <v>2</v>
      </c>
      <c r="T180" t="s">
        <v>74</v>
      </c>
      <c r="U180" t="s">
        <v>90</v>
      </c>
      <c r="V180" t="s">
        <v>69</v>
      </c>
      <c r="W180" s="3">
        <v>45479</v>
      </c>
      <c r="X180" t="b">
        <v>1</v>
      </c>
      <c r="Y180" t="b">
        <v>0</v>
      </c>
      <c r="Z180" t="s">
        <v>82</v>
      </c>
      <c r="AA180" t="s">
        <v>71</v>
      </c>
      <c r="AB180">
        <v>11</v>
      </c>
      <c r="AO180" t="str">
        <f t="shared" si="12"/>
        <v>41-60</v>
      </c>
      <c r="BD180">
        <v>10</v>
      </c>
      <c r="BF180" cm="1">
        <f t="array" ref="BF180">CORREL(J180:J1180,S180:S1180)</f>
        <v>-0.0411474540099326</v>
      </c>
      <c r="BH180">
        <v>2</v>
      </c>
      <c r="BI180">
        <f t="shared" si="10"/>
        <v>5</v>
      </c>
      <c r="BJ180">
        <f t="shared" si="11"/>
        <v>0.4</v>
      </c>
    </row>
    <row r="181" spans="1:62">
      <c r="A181" s="1">
        <v>652495416</v>
      </c>
      <c r="B181">
        <v>35</v>
      </c>
      <c r="C181" t="s">
        <v>73</v>
      </c>
      <c r="D181" t="s">
        <v>74</v>
      </c>
      <c r="E181" t="s">
        <v>98</v>
      </c>
      <c r="F181" t="s">
        <v>87</v>
      </c>
      <c r="G181" t="s">
        <v>60</v>
      </c>
      <c r="H181" t="s">
        <v>318</v>
      </c>
      <c r="I181" t="s">
        <v>209</v>
      </c>
      <c r="J181" s="2">
        <v>54.71</v>
      </c>
      <c r="K181">
        <v>4</v>
      </c>
      <c r="L181" t="s">
        <v>65</v>
      </c>
      <c r="M181">
        <v>5</v>
      </c>
      <c r="N181">
        <v>2</v>
      </c>
      <c r="O181">
        <v>1</v>
      </c>
      <c r="P181" t="s">
        <v>84</v>
      </c>
      <c r="Q181" t="s">
        <v>109</v>
      </c>
      <c r="R181">
        <v>1</v>
      </c>
      <c r="S181">
        <v>3</v>
      </c>
      <c r="T181" t="s">
        <v>66</v>
      </c>
      <c r="U181" t="s">
        <v>105</v>
      </c>
      <c r="V181" t="s">
        <v>81</v>
      </c>
      <c r="W181" s="3">
        <v>45591</v>
      </c>
      <c r="X181" t="b">
        <v>1</v>
      </c>
      <c r="Y181" t="b">
        <v>1</v>
      </c>
      <c r="Z181" t="s">
        <v>70</v>
      </c>
      <c r="AA181" t="s">
        <v>97</v>
      </c>
      <c r="AB181">
        <v>3</v>
      </c>
      <c r="AO181" t="str">
        <f t="shared" si="12"/>
        <v>26-40</v>
      </c>
      <c r="BD181">
        <v>4</v>
      </c>
      <c r="BF181" cm="1">
        <f t="array" ref="BF181">CORREL(J181:J1181,S181:S1181)</f>
        <v>-0.04112434123241</v>
      </c>
      <c r="BH181">
        <v>3</v>
      </c>
      <c r="BI181">
        <f t="shared" si="10"/>
        <v>1.33333333333333</v>
      </c>
      <c r="BJ181">
        <f t="shared" si="11"/>
        <v>2.25</v>
      </c>
    </row>
    <row r="182" spans="1:62">
      <c r="A182" s="1">
        <v>173284678</v>
      </c>
      <c r="B182">
        <v>27</v>
      </c>
      <c r="C182" t="s">
        <v>73</v>
      </c>
      <c r="D182" t="s">
        <v>74</v>
      </c>
      <c r="E182" t="s">
        <v>98</v>
      </c>
      <c r="F182" t="s">
        <v>62</v>
      </c>
      <c r="G182" t="s">
        <v>60</v>
      </c>
      <c r="H182" t="s">
        <v>319</v>
      </c>
      <c r="I182" t="s">
        <v>129</v>
      </c>
      <c r="J182" s="2">
        <v>119.51</v>
      </c>
      <c r="K182">
        <v>11</v>
      </c>
      <c r="L182" t="s">
        <v>65</v>
      </c>
      <c r="M182">
        <v>5</v>
      </c>
      <c r="N182">
        <v>5</v>
      </c>
      <c r="O182">
        <v>2</v>
      </c>
      <c r="P182" t="s">
        <v>84</v>
      </c>
      <c r="Q182" t="s">
        <v>109</v>
      </c>
      <c r="R182">
        <v>2</v>
      </c>
      <c r="S182">
        <v>8</v>
      </c>
      <c r="T182" t="s">
        <v>84</v>
      </c>
      <c r="U182" t="s">
        <v>105</v>
      </c>
      <c r="V182" t="s">
        <v>81</v>
      </c>
      <c r="W182" s="3">
        <v>45419</v>
      </c>
      <c r="X182" t="b">
        <v>0</v>
      </c>
      <c r="Y182" t="b">
        <v>0</v>
      </c>
      <c r="Z182" t="s">
        <v>102</v>
      </c>
      <c r="AA182" t="s">
        <v>71</v>
      </c>
      <c r="AB182">
        <v>1</v>
      </c>
      <c r="AO182" t="str">
        <f t="shared" si="12"/>
        <v>26-40</v>
      </c>
      <c r="BD182">
        <v>11</v>
      </c>
      <c r="BF182" cm="1">
        <f t="array" ref="BF182">CORREL(J182:J1182,S182:S1182)</f>
        <v>-0.042987520653499</v>
      </c>
      <c r="BH182">
        <v>8</v>
      </c>
      <c r="BI182">
        <f t="shared" si="10"/>
        <v>1.375</v>
      </c>
      <c r="BJ182">
        <f t="shared" si="11"/>
        <v>5.81818181818182</v>
      </c>
    </row>
    <row r="183" spans="1:62">
      <c r="A183" s="4" t="s">
        <v>320</v>
      </c>
      <c r="B183">
        <v>37</v>
      </c>
      <c r="C183" t="s">
        <v>59</v>
      </c>
      <c r="D183" t="s">
        <v>74</v>
      </c>
      <c r="E183" t="s">
        <v>86</v>
      </c>
      <c r="F183" t="s">
        <v>87</v>
      </c>
      <c r="G183" t="s">
        <v>74</v>
      </c>
      <c r="H183" t="s">
        <v>321</v>
      </c>
      <c r="I183" t="s">
        <v>143</v>
      </c>
      <c r="J183" s="2">
        <v>57.5</v>
      </c>
      <c r="K183">
        <v>12</v>
      </c>
      <c r="L183" t="s">
        <v>85</v>
      </c>
      <c r="M183">
        <v>5</v>
      </c>
      <c r="N183">
        <v>1</v>
      </c>
      <c r="O183">
        <v>1</v>
      </c>
      <c r="P183" t="s">
        <v>66</v>
      </c>
      <c r="Q183" t="s">
        <v>80</v>
      </c>
      <c r="R183">
        <v>0</v>
      </c>
      <c r="S183">
        <v>3</v>
      </c>
      <c r="T183" t="s">
        <v>66</v>
      </c>
      <c r="U183" t="s">
        <v>105</v>
      </c>
      <c r="V183" t="s">
        <v>110</v>
      </c>
      <c r="W183" s="3">
        <v>45634</v>
      </c>
      <c r="X183" t="b">
        <v>1</v>
      </c>
      <c r="Y183" t="b">
        <v>1</v>
      </c>
      <c r="Z183" t="s">
        <v>92</v>
      </c>
      <c r="AA183" t="s">
        <v>71</v>
      </c>
      <c r="AB183">
        <v>13</v>
      </c>
      <c r="AO183" t="str">
        <f t="shared" si="12"/>
        <v>26-40</v>
      </c>
      <c r="BD183">
        <v>12</v>
      </c>
      <c r="BF183" cm="1">
        <f t="array" ref="BF183">CORREL(J183:J1183,S183:S1183)</f>
        <v>-0.0417895223782159</v>
      </c>
      <c r="BH183">
        <v>3</v>
      </c>
      <c r="BI183">
        <f t="shared" si="10"/>
        <v>4</v>
      </c>
      <c r="BJ183">
        <f t="shared" si="11"/>
        <v>0.75</v>
      </c>
    </row>
    <row r="184" spans="1:62">
      <c r="A184" s="1">
        <v>475013435</v>
      </c>
      <c r="B184">
        <v>38</v>
      </c>
      <c r="C184" t="s">
        <v>59</v>
      </c>
      <c r="D184" t="s">
        <v>74</v>
      </c>
      <c r="E184" t="s">
        <v>61</v>
      </c>
      <c r="F184" t="s">
        <v>62</v>
      </c>
      <c r="G184" t="s">
        <v>74</v>
      </c>
      <c r="H184" t="s">
        <v>322</v>
      </c>
      <c r="I184" t="s">
        <v>107</v>
      </c>
      <c r="J184" s="2">
        <v>225.05</v>
      </c>
      <c r="K184">
        <v>5</v>
      </c>
      <c r="L184" t="s">
        <v>65</v>
      </c>
      <c r="M184">
        <v>2</v>
      </c>
      <c r="N184">
        <v>1</v>
      </c>
      <c r="O184">
        <v>1</v>
      </c>
      <c r="P184" t="s">
        <v>74</v>
      </c>
      <c r="Q184" t="s">
        <v>67</v>
      </c>
      <c r="R184">
        <v>1</v>
      </c>
      <c r="S184">
        <v>1</v>
      </c>
      <c r="T184" t="s">
        <v>84</v>
      </c>
      <c r="U184" t="s">
        <v>105</v>
      </c>
      <c r="V184" t="s">
        <v>69</v>
      </c>
      <c r="W184" s="3">
        <v>45470</v>
      </c>
      <c r="X184" t="b">
        <v>0</v>
      </c>
      <c r="Y184" t="b">
        <v>0</v>
      </c>
      <c r="Z184" t="s">
        <v>70</v>
      </c>
      <c r="AA184" t="s">
        <v>71</v>
      </c>
      <c r="AB184">
        <v>10</v>
      </c>
      <c r="AO184" t="str">
        <f t="shared" si="12"/>
        <v>26-40</v>
      </c>
      <c r="BD184">
        <v>5</v>
      </c>
      <c r="BF184" cm="1">
        <f t="array" ref="BF184">CORREL(J184:J1184,S184:S1184)</f>
        <v>-0.0436402879707307</v>
      </c>
      <c r="BH184">
        <v>1</v>
      </c>
      <c r="BI184">
        <f t="shared" si="10"/>
        <v>5</v>
      </c>
      <c r="BJ184">
        <f t="shared" si="11"/>
        <v>0.2</v>
      </c>
    </row>
    <row r="185" spans="1:62">
      <c r="A185" s="1">
        <v>467797065</v>
      </c>
      <c r="B185">
        <v>41</v>
      </c>
      <c r="C185" t="s">
        <v>59</v>
      </c>
      <c r="D185" t="s">
        <v>74</v>
      </c>
      <c r="E185" t="s">
        <v>103</v>
      </c>
      <c r="F185" t="s">
        <v>75</v>
      </c>
      <c r="G185" t="s">
        <v>74</v>
      </c>
      <c r="H185" t="s">
        <v>323</v>
      </c>
      <c r="I185" t="s">
        <v>77</v>
      </c>
      <c r="J185" s="2">
        <v>441.15</v>
      </c>
      <c r="K185">
        <v>7</v>
      </c>
      <c r="L185" t="s">
        <v>85</v>
      </c>
      <c r="M185">
        <v>3</v>
      </c>
      <c r="N185">
        <v>1</v>
      </c>
      <c r="O185">
        <v>1</v>
      </c>
      <c r="P185" t="s">
        <v>84</v>
      </c>
      <c r="Q185" t="s">
        <v>67</v>
      </c>
      <c r="R185">
        <v>1</v>
      </c>
      <c r="S185">
        <v>1</v>
      </c>
      <c r="T185" t="s">
        <v>66</v>
      </c>
      <c r="U185" t="s">
        <v>90</v>
      </c>
      <c r="V185" t="s">
        <v>91</v>
      </c>
      <c r="W185" s="3">
        <v>45535</v>
      </c>
      <c r="X185" t="b">
        <v>0</v>
      </c>
      <c r="Y185" t="b">
        <v>0</v>
      </c>
      <c r="Z185" t="s">
        <v>70</v>
      </c>
      <c r="AA185" t="s">
        <v>71</v>
      </c>
      <c r="AB185">
        <v>8</v>
      </c>
      <c r="AO185" t="str">
        <f t="shared" si="12"/>
        <v>41-60</v>
      </c>
      <c r="BD185">
        <v>7</v>
      </c>
      <c r="BF185" cm="1">
        <f t="array" ref="BF185">CORREL(J185:J1185,S185:S1185)</f>
        <v>-0.0444453433778887</v>
      </c>
      <c r="BH185">
        <v>1</v>
      </c>
      <c r="BI185">
        <f t="shared" si="10"/>
        <v>7</v>
      </c>
      <c r="BJ185">
        <f t="shared" si="11"/>
        <v>0.142857142857143</v>
      </c>
    </row>
    <row r="186" spans="1:62">
      <c r="A186" s="1">
        <v>916031565</v>
      </c>
      <c r="B186">
        <v>48</v>
      </c>
      <c r="C186" t="s">
        <v>73</v>
      </c>
      <c r="D186" t="s">
        <v>60</v>
      </c>
      <c r="E186" t="s">
        <v>103</v>
      </c>
      <c r="F186" t="s">
        <v>75</v>
      </c>
      <c r="G186" t="s">
        <v>60</v>
      </c>
      <c r="H186" t="s">
        <v>324</v>
      </c>
      <c r="I186" t="s">
        <v>120</v>
      </c>
      <c r="J186" s="2">
        <v>481.21</v>
      </c>
      <c r="K186">
        <v>3</v>
      </c>
      <c r="L186" t="s">
        <v>65</v>
      </c>
      <c r="M186">
        <v>1</v>
      </c>
      <c r="N186">
        <v>2</v>
      </c>
      <c r="O186">
        <v>1</v>
      </c>
      <c r="P186" t="s">
        <v>74</v>
      </c>
      <c r="Q186" t="s">
        <v>80</v>
      </c>
      <c r="R186">
        <v>0</v>
      </c>
      <c r="S186">
        <v>1</v>
      </c>
      <c r="T186" t="s">
        <v>66</v>
      </c>
      <c r="U186" t="s">
        <v>105</v>
      </c>
      <c r="V186" t="s">
        <v>69</v>
      </c>
      <c r="W186" s="3">
        <v>45609</v>
      </c>
      <c r="X186" t="b">
        <v>0</v>
      </c>
      <c r="Y186" t="b">
        <v>0</v>
      </c>
      <c r="Z186" t="s">
        <v>82</v>
      </c>
      <c r="AA186" t="s">
        <v>71</v>
      </c>
      <c r="AB186">
        <v>11</v>
      </c>
      <c r="AO186" t="str">
        <f t="shared" si="12"/>
        <v>41-60</v>
      </c>
      <c r="BD186">
        <v>3</v>
      </c>
      <c r="BF186" cm="1">
        <f t="array" ref="BF186">CORREL(J186:J1186,S186:S1186)</f>
        <v>-0.0421275523313923</v>
      </c>
      <c r="BH186">
        <v>1</v>
      </c>
      <c r="BI186">
        <f t="shared" si="10"/>
        <v>3</v>
      </c>
      <c r="BJ186">
        <f t="shared" si="11"/>
        <v>0.333333333333333</v>
      </c>
    </row>
    <row r="187" spans="1:62">
      <c r="A187" s="1">
        <v>351225020</v>
      </c>
      <c r="B187">
        <v>48</v>
      </c>
      <c r="C187" t="s">
        <v>59</v>
      </c>
      <c r="D187" t="s">
        <v>74</v>
      </c>
      <c r="E187" t="s">
        <v>61</v>
      </c>
      <c r="F187" t="s">
        <v>62</v>
      </c>
      <c r="G187" t="s">
        <v>60</v>
      </c>
      <c r="H187" t="s">
        <v>325</v>
      </c>
      <c r="I187" t="s">
        <v>143</v>
      </c>
      <c r="J187" s="2">
        <v>102.96</v>
      </c>
      <c r="K187">
        <v>3</v>
      </c>
      <c r="L187" t="s">
        <v>65</v>
      </c>
      <c r="M187">
        <v>1</v>
      </c>
      <c r="N187">
        <v>1</v>
      </c>
      <c r="O187">
        <v>1</v>
      </c>
      <c r="P187" t="s">
        <v>84</v>
      </c>
      <c r="Q187" t="s">
        <v>109</v>
      </c>
      <c r="R187">
        <v>0</v>
      </c>
      <c r="S187">
        <v>7</v>
      </c>
      <c r="T187" t="s">
        <v>84</v>
      </c>
      <c r="U187" t="s">
        <v>105</v>
      </c>
      <c r="V187" t="s">
        <v>81</v>
      </c>
      <c r="W187" s="3">
        <v>45645</v>
      </c>
      <c r="X187" t="b">
        <v>0</v>
      </c>
      <c r="Y187" t="b">
        <v>1</v>
      </c>
      <c r="Z187" t="s">
        <v>82</v>
      </c>
      <c r="AA187" t="s">
        <v>83</v>
      </c>
      <c r="AB187">
        <v>4</v>
      </c>
      <c r="AO187" t="str">
        <f t="shared" si="12"/>
        <v>41-60</v>
      </c>
      <c r="BD187">
        <v>3</v>
      </c>
      <c r="BF187" cm="1">
        <f t="array" ref="BF187">CORREL(J187:J1187,S187:S1187)</f>
        <v>-0.039223865295829</v>
      </c>
      <c r="BH187">
        <v>7</v>
      </c>
      <c r="BI187">
        <f t="shared" si="10"/>
        <v>0.428571428571429</v>
      </c>
      <c r="BJ187">
        <f t="shared" si="11"/>
        <v>16.3333333333333</v>
      </c>
    </row>
    <row r="188" spans="1:62">
      <c r="A188" s="1">
        <v>636844073</v>
      </c>
      <c r="B188">
        <v>45</v>
      </c>
      <c r="C188" t="s">
        <v>59</v>
      </c>
      <c r="D188" t="s">
        <v>74</v>
      </c>
      <c r="E188" t="s">
        <v>103</v>
      </c>
      <c r="F188" t="s">
        <v>62</v>
      </c>
      <c r="G188" t="s">
        <v>74</v>
      </c>
      <c r="H188" t="s">
        <v>326</v>
      </c>
      <c r="I188" t="s">
        <v>131</v>
      </c>
      <c r="J188" s="2">
        <v>331.57</v>
      </c>
      <c r="K188">
        <v>11</v>
      </c>
      <c r="L188" t="s">
        <v>65</v>
      </c>
      <c r="M188">
        <v>3</v>
      </c>
      <c r="N188">
        <v>1</v>
      </c>
      <c r="O188">
        <v>0</v>
      </c>
      <c r="P188" t="s">
        <v>84</v>
      </c>
      <c r="Q188" t="s">
        <v>67</v>
      </c>
      <c r="R188">
        <v>1</v>
      </c>
      <c r="S188">
        <v>6</v>
      </c>
      <c r="T188" t="s">
        <v>79</v>
      </c>
      <c r="U188" t="s">
        <v>105</v>
      </c>
      <c r="V188" t="s">
        <v>91</v>
      </c>
      <c r="W188" s="3">
        <v>45418</v>
      </c>
      <c r="X188" t="b">
        <v>0</v>
      </c>
      <c r="Y188" t="b">
        <v>0</v>
      </c>
      <c r="Z188" t="s">
        <v>92</v>
      </c>
      <c r="AA188" t="s">
        <v>97</v>
      </c>
      <c r="AB188">
        <v>14</v>
      </c>
      <c r="AO188" t="str">
        <f t="shared" si="12"/>
        <v>41-60</v>
      </c>
      <c r="BD188">
        <v>11</v>
      </c>
      <c r="BF188" cm="1">
        <f t="array" ref="BF188">CORREL(J188:J1188,S188:S1188)</f>
        <v>-0.03843961984792</v>
      </c>
      <c r="BH188">
        <v>6</v>
      </c>
      <c r="BI188">
        <f t="shared" si="10"/>
        <v>1.83333333333333</v>
      </c>
      <c r="BJ188">
        <f t="shared" si="11"/>
        <v>3.27272727272727</v>
      </c>
    </row>
    <row r="189" spans="1:62">
      <c r="A189" s="1">
        <v>744832893</v>
      </c>
      <c r="B189">
        <v>26</v>
      </c>
      <c r="C189" t="s">
        <v>175</v>
      </c>
      <c r="D189" t="s">
        <v>60</v>
      </c>
      <c r="E189" t="s">
        <v>98</v>
      </c>
      <c r="F189" t="s">
        <v>75</v>
      </c>
      <c r="G189" t="s">
        <v>60</v>
      </c>
      <c r="H189" t="s">
        <v>327</v>
      </c>
      <c r="I189" t="s">
        <v>131</v>
      </c>
      <c r="J189" s="2">
        <v>101.29</v>
      </c>
      <c r="K189">
        <v>11</v>
      </c>
      <c r="L189" t="s">
        <v>78</v>
      </c>
      <c r="M189">
        <v>1</v>
      </c>
      <c r="N189">
        <v>1</v>
      </c>
      <c r="O189">
        <v>2</v>
      </c>
      <c r="P189" t="s">
        <v>79</v>
      </c>
      <c r="Q189" t="s">
        <v>80</v>
      </c>
      <c r="R189">
        <v>2</v>
      </c>
      <c r="S189">
        <v>7</v>
      </c>
      <c r="T189" t="s">
        <v>79</v>
      </c>
      <c r="U189" t="s">
        <v>90</v>
      </c>
      <c r="V189" t="s">
        <v>110</v>
      </c>
      <c r="W189" s="3">
        <v>45595</v>
      </c>
      <c r="X189" t="b">
        <v>0</v>
      </c>
      <c r="Y189" t="b">
        <v>1</v>
      </c>
      <c r="Z189" t="s">
        <v>70</v>
      </c>
      <c r="AA189" t="s">
        <v>71</v>
      </c>
      <c r="AB189">
        <v>4</v>
      </c>
      <c r="AO189" t="str">
        <f t="shared" si="12"/>
        <v>26-40</v>
      </c>
      <c r="BD189">
        <v>11</v>
      </c>
      <c r="BF189" cm="1">
        <f t="array" ref="BF189">CORREL(J189:J1189,S189:S1189)</f>
        <v>-0.0385334719525338</v>
      </c>
      <c r="BH189">
        <v>7</v>
      </c>
      <c r="BI189">
        <f t="shared" si="10"/>
        <v>1.57142857142857</v>
      </c>
      <c r="BJ189">
        <f t="shared" si="11"/>
        <v>4.45454545454546</v>
      </c>
    </row>
    <row r="190" spans="1:62">
      <c r="A190" s="1">
        <v>727284406</v>
      </c>
      <c r="B190">
        <v>50</v>
      </c>
      <c r="C190" t="s">
        <v>59</v>
      </c>
      <c r="D190" t="s">
        <v>60</v>
      </c>
      <c r="E190" t="s">
        <v>86</v>
      </c>
      <c r="F190" t="s">
        <v>87</v>
      </c>
      <c r="G190" t="s">
        <v>74</v>
      </c>
      <c r="H190" t="s">
        <v>328</v>
      </c>
      <c r="I190" t="s">
        <v>129</v>
      </c>
      <c r="J190" s="2">
        <v>143.52</v>
      </c>
      <c r="K190">
        <v>9</v>
      </c>
      <c r="L190" t="s">
        <v>78</v>
      </c>
      <c r="M190">
        <v>2</v>
      </c>
      <c r="N190">
        <v>5</v>
      </c>
      <c r="O190">
        <v>1</v>
      </c>
      <c r="P190" t="s">
        <v>79</v>
      </c>
      <c r="Q190" t="s">
        <v>67</v>
      </c>
      <c r="R190">
        <v>2</v>
      </c>
      <c r="S190">
        <v>3</v>
      </c>
      <c r="T190" t="s">
        <v>66</v>
      </c>
      <c r="U190" t="s">
        <v>68</v>
      </c>
      <c r="V190" t="s">
        <v>69</v>
      </c>
      <c r="W190" s="3">
        <v>45393</v>
      </c>
      <c r="X190" t="b">
        <v>1</v>
      </c>
      <c r="Y190" t="b">
        <v>0</v>
      </c>
      <c r="Z190" t="s">
        <v>92</v>
      </c>
      <c r="AA190" t="s">
        <v>97</v>
      </c>
      <c r="AB190">
        <v>12</v>
      </c>
      <c r="AO190" t="str">
        <f t="shared" si="12"/>
        <v>41-60</v>
      </c>
      <c r="BD190">
        <v>9</v>
      </c>
      <c r="BF190" cm="1">
        <f t="array" ref="BF190">CORREL(J190:J1190,S190:S1190)</f>
        <v>-0.0377380745631397</v>
      </c>
      <c r="BH190">
        <v>3</v>
      </c>
      <c r="BI190">
        <f t="shared" si="10"/>
        <v>3</v>
      </c>
      <c r="BJ190">
        <f t="shared" si="11"/>
        <v>1</v>
      </c>
    </row>
    <row r="191" spans="1:62">
      <c r="A191" s="1">
        <v>135882488</v>
      </c>
      <c r="B191">
        <v>39</v>
      </c>
      <c r="C191" t="s">
        <v>73</v>
      </c>
      <c r="D191" t="s">
        <v>60</v>
      </c>
      <c r="E191" t="s">
        <v>98</v>
      </c>
      <c r="F191" t="s">
        <v>62</v>
      </c>
      <c r="G191" t="s">
        <v>60</v>
      </c>
      <c r="H191" t="s">
        <v>329</v>
      </c>
      <c r="I191" t="s">
        <v>113</v>
      </c>
      <c r="J191" s="2">
        <v>276.48</v>
      </c>
      <c r="K191">
        <v>3</v>
      </c>
      <c r="L191" t="s">
        <v>65</v>
      </c>
      <c r="M191">
        <v>1</v>
      </c>
      <c r="N191">
        <v>2</v>
      </c>
      <c r="O191">
        <v>1</v>
      </c>
      <c r="P191" t="s">
        <v>66</v>
      </c>
      <c r="Q191" t="s">
        <v>67</v>
      </c>
      <c r="R191">
        <v>0</v>
      </c>
      <c r="S191">
        <v>4</v>
      </c>
      <c r="T191" t="s">
        <v>84</v>
      </c>
      <c r="U191" t="s">
        <v>105</v>
      </c>
      <c r="V191" t="s">
        <v>110</v>
      </c>
      <c r="W191" s="3">
        <v>45417</v>
      </c>
      <c r="X191" t="b">
        <v>0</v>
      </c>
      <c r="Y191" t="b">
        <v>0</v>
      </c>
      <c r="Z191" t="s">
        <v>70</v>
      </c>
      <c r="AA191" t="s">
        <v>97</v>
      </c>
      <c r="AB191">
        <v>7</v>
      </c>
      <c r="AO191" t="str">
        <f t="shared" si="12"/>
        <v>26-40</v>
      </c>
      <c r="BD191">
        <v>3</v>
      </c>
      <c r="BF191" cm="1">
        <f t="array" ref="BF191">CORREL(J191:J1191,S191:S1191)</f>
        <v>-0.038864758865808</v>
      </c>
      <c r="BH191">
        <v>4</v>
      </c>
      <c r="BI191">
        <f t="shared" si="10"/>
        <v>0.75</v>
      </c>
      <c r="BJ191">
        <f t="shared" si="11"/>
        <v>5.33333333333333</v>
      </c>
    </row>
    <row r="192" spans="1:62">
      <c r="A192" s="1">
        <v>798616506</v>
      </c>
      <c r="B192">
        <v>20</v>
      </c>
      <c r="C192" t="s">
        <v>73</v>
      </c>
      <c r="D192" t="s">
        <v>74</v>
      </c>
      <c r="E192" t="s">
        <v>98</v>
      </c>
      <c r="F192" t="s">
        <v>75</v>
      </c>
      <c r="G192" t="s">
        <v>74</v>
      </c>
      <c r="H192" t="s">
        <v>330</v>
      </c>
      <c r="I192" t="s">
        <v>137</v>
      </c>
      <c r="J192" s="2">
        <v>352.87</v>
      </c>
      <c r="K192">
        <v>11</v>
      </c>
      <c r="L192" t="s">
        <v>78</v>
      </c>
      <c r="M192">
        <v>5</v>
      </c>
      <c r="N192">
        <v>3</v>
      </c>
      <c r="O192">
        <v>0</v>
      </c>
      <c r="P192" t="s">
        <v>74</v>
      </c>
      <c r="Q192" t="s">
        <v>80</v>
      </c>
      <c r="R192">
        <v>0</v>
      </c>
      <c r="S192">
        <v>6</v>
      </c>
      <c r="T192" t="s">
        <v>74</v>
      </c>
      <c r="U192" t="s">
        <v>68</v>
      </c>
      <c r="V192" t="s">
        <v>81</v>
      </c>
      <c r="W192" s="3">
        <v>45341</v>
      </c>
      <c r="X192" t="b">
        <v>0</v>
      </c>
      <c r="Y192" t="b">
        <v>0</v>
      </c>
      <c r="Z192" t="s">
        <v>82</v>
      </c>
      <c r="AA192" t="s">
        <v>83</v>
      </c>
      <c r="AB192">
        <v>12</v>
      </c>
      <c r="AO192" t="str">
        <f t="shared" si="12"/>
        <v>18-25</v>
      </c>
      <c r="BD192">
        <v>11</v>
      </c>
      <c r="BF192" cm="1">
        <f t="array" ref="BF192">CORREL(J192:J1192,S192:S1192)</f>
        <v>-0.0388667700847366</v>
      </c>
      <c r="BH192">
        <v>6</v>
      </c>
      <c r="BI192">
        <f t="shared" si="10"/>
        <v>1.83333333333333</v>
      </c>
      <c r="BJ192">
        <f t="shared" si="11"/>
        <v>3.27272727272727</v>
      </c>
    </row>
    <row r="193" spans="1:62">
      <c r="A193" s="1">
        <v>669746707</v>
      </c>
      <c r="B193">
        <v>48</v>
      </c>
      <c r="C193" t="s">
        <v>73</v>
      </c>
      <c r="D193" t="s">
        <v>60</v>
      </c>
      <c r="E193" t="s">
        <v>61</v>
      </c>
      <c r="F193" t="s">
        <v>87</v>
      </c>
      <c r="G193" t="s">
        <v>60</v>
      </c>
      <c r="H193" t="s">
        <v>331</v>
      </c>
      <c r="I193" t="s">
        <v>115</v>
      </c>
      <c r="J193" s="2">
        <v>228.68</v>
      </c>
      <c r="K193">
        <v>3</v>
      </c>
      <c r="L193" t="s">
        <v>65</v>
      </c>
      <c r="M193">
        <v>2</v>
      </c>
      <c r="N193">
        <v>1</v>
      </c>
      <c r="O193">
        <v>2</v>
      </c>
      <c r="P193" t="s">
        <v>84</v>
      </c>
      <c r="Q193" t="s">
        <v>109</v>
      </c>
      <c r="R193">
        <v>1</v>
      </c>
      <c r="S193">
        <v>4</v>
      </c>
      <c r="T193" t="s">
        <v>66</v>
      </c>
      <c r="U193" t="s">
        <v>68</v>
      </c>
      <c r="V193" t="s">
        <v>91</v>
      </c>
      <c r="W193" s="3">
        <v>45574</v>
      </c>
      <c r="X193" t="b">
        <v>1</v>
      </c>
      <c r="Y193" t="b">
        <v>0</v>
      </c>
      <c r="Z193" t="s">
        <v>102</v>
      </c>
      <c r="AA193" t="s">
        <v>83</v>
      </c>
      <c r="AB193">
        <v>4</v>
      </c>
      <c r="AO193" t="str">
        <f t="shared" si="12"/>
        <v>41-60</v>
      </c>
      <c r="BD193">
        <v>3</v>
      </c>
      <c r="BF193" cm="1">
        <f t="array" ref="BF193">CORREL(J193:J1193,S193:S1193)</f>
        <v>-0.0389973764897363</v>
      </c>
      <c r="BH193">
        <v>4</v>
      </c>
      <c r="BI193">
        <f t="shared" si="10"/>
        <v>0.75</v>
      </c>
      <c r="BJ193">
        <f t="shared" si="11"/>
        <v>5.33333333333333</v>
      </c>
    </row>
    <row r="194" spans="1:62">
      <c r="A194" s="1">
        <v>951126724</v>
      </c>
      <c r="B194">
        <v>31</v>
      </c>
      <c r="C194" t="s">
        <v>59</v>
      </c>
      <c r="D194" t="s">
        <v>60</v>
      </c>
      <c r="E194" t="s">
        <v>103</v>
      </c>
      <c r="F194" t="s">
        <v>87</v>
      </c>
      <c r="G194" t="s">
        <v>74</v>
      </c>
      <c r="H194" t="s">
        <v>332</v>
      </c>
      <c r="I194" t="s">
        <v>77</v>
      </c>
      <c r="J194" s="2">
        <v>301.39</v>
      </c>
      <c r="K194">
        <v>6</v>
      </c>
      <c r="L194" t="s">
        <v>85</v>
      </c>
      <c r="M194">
        <v>2</v>
      </c>
      <c r="N194">
        <v>1</v>
      </c>
      <c r="O194">
        <v>0</v>
      </c>
      <c r="P194" t="s">
        <v>66</v>
      </c>
      <c r="Q194" t="s">
        <v>109</v>
      </c>
      <c r="R194">
        <v>1</v>
      </c>
      <c r="S194">
        <v>4</v>
      </c>
      <c r="T194" t="s">
        <v>84</v>
      </c>
      <c r="U194" t="s">
        <v>105</v>
      </c>
      <c r="V194" t="s">
        <v>91</v>
      </c>
      <c r="W194" s="3">
        <v>45403</v>
      </c>
      <c r="X194" t="b">
        <v>0</v>
      </c>
      <c r="Y194" t="b">
        <v>0</v>
      </c>
      <c r="Z194" t="s">
        <v>70</v>
      </c>
      <c r="AA194" t="s">
        <v>71</v>
      </c>
      <c r="AB194">
        <v>11</v>
      </c>
      <c r="AO194" t="str">
        <f t="shared" si="12"/>
        <v>26-40</v>
      </c>
      <c r="BD194">
        <v>6</v>
      </c>
      <c r="BF194" cm="1">
        <f t="array" ref="BF194">CORREL(J194:J1194,S194:S1194)</f>
        <v>-0.0392398354809487</v>
      </c>
      <c r="BH194">
        <v>4</v>
      </c>
      <c r="BI194">
        <f t="shared" si="10"/>
        <v>1.5</v>
      </c>
      <c r="BJ194">
        <f t="shared" si="11"/>
        <v>2.66666666666667</v>
      </c>
    </row>
    <row r="195" spans="1:62">
      <c r="A195" s="1">
        <v>272626874</v>
      </c>
      <c r="B195">
        <v>25</v>
      </c>
      <c r="C195" t="s">
        <v>59</v>
      </c>
      <c r="D195" t="s">
        <v>60</v>
      </c>
      <c r="E195" t="s">
        <v>61</v>
      </c>
      <c r="F195" t="s">
        <v>62</v>
      </c>
      <c r="G195" t="s">
        <v>74</v>
      </c>
      <c r="H195" t="s">
        <v>333</v>
      </c>
      <c r="I195" t="s">
        <v>107</v>
      </c>
      <c r="J195" s="2">
        <v>473.5</v>
      </c>
      <c r="K195">
        <v>11</v>
      </c>
      <c r="L195" t="s">
        <v>65</v>
      </c>
      <c r="M195">
        <v>2</v>
      </c>
      <c r="N195">
        <v>4</v>
      </c>
      <c r="O195">
        <v>1</v>
      </c>
      <c r="P195" t="s">
        <v>84</v>
      </c>
      <c r="Q195" t="s">
        <v>67</v>
      </c>
      <c r="R195">
        <v>2</v>
      </c>
      <c r="S195">
        <v>3</v>
      </c>
      <c r="T195" t="s">
        <v>74</v>
      </c>
      <c r="U195" t="s">
        <v>68</v>
      </c>
      <c r="V195" t="s">
        <v>96</v>
      </c>
      <c r="W195" s="3">
        <v>45497</v>
      </c>
      <c r="X195" t="b">
        <v>0</v>
      </c>
      <c r="Y195" t="b">
        <v>1</v>
      </c>
      <c r="Z195" t="s">
        <v>92</v>
      </c>
      <c r="AA195" t="s">
        <v>97</v>
      </c>
      <c r="AB195">
        <v>10</v>
      </c>
      <c r="AO195" t="str">
        <f t="shared" si="12"/>
        <v>18-25</v>
      </c>
      <c r="BD195">
        <v>11</v>
      </c>
      <c r="BF195" cm="1">
        <f t="array" ref="BF195">CORREL(J195:J1195,S195:S1195)</f>
        <v>-0.0391185482728408</v>
      </c>
      <c r="BH195">
        <v>3</v>
      </c>
      <c r="BI195">
        <f t="shared" ref="BI195:BI258" si="13">K195/S195</f>
        <v>3.66666666666667</v>
      </c>
      <c r="BJ195">
        <f t="shared" ref="BJ195:BJ258" si="14">BH195/BI195</f>
        <v>0.818181818181818</v>
      </c>
    </row>
    <row r="196" spans="1:62">
      <c r="A196" s="1">
        <v>929085062</v>
      </c>
      <c r="B196">
        <v>18</v>
      </c>
      <c r="C196" t="s">
        <v>224</v>
      </c>
      <c r="D196" t="s">
        <v>60</v>
      </c>
      <c r="E196" t="s">
        <v>86</v>
      </c>
      <c r="F196" t="s">
        <v>62</v>
      </c>
      <c r="G196" t="s">
        <v>74</v>
      </c>
      <c r="H196" t="s">
        <v>334</v>
      </c>
      <c r="I196" t="s">
        <v>95</v>
      </c>
      <c r="J196" s="2">
        <v>72.8</v>
      </c>
      <c r="K196">
        <v>11</v>
      </c>
      <c r="L196" t="s">
        <v>78</v>
      </c>
      <c r="M196">
        <v>2</v>
      </c>
      <c r="N196">
        <v>4</v>
      </c>
      <c r="O196">
        <v>1</v>
      </c>
      <c r="P196" t="s">
        <v>74</v>
      </c>
      <c r="Q196" t="s">
        <v>67</v>
      </c>
      <c r="R196">
        <v>2</v>
      </c>
      <c r="S196">
        <v>10</v>
      </c>
      <c r="T196" t="s">
        <v>74</v>
      </c>
      <c r="U196" t="s">
        <v>105</v>
      </c>
      <c r="V196" t="s">
        <v>81</v>
      </c>
      <c r="W196" s="3">
        <v>45524</v>
      </c>
      <c r="X196" t="b">
        <v>1</v>
      </c>
      <c r="Y196" t="b">
        <v>0</v>
      </c>
      <c r="Z196" t="s">
        <v>70</v>
      </c>
      <c r="AA196" t="s">
        <v>97</v>
      </c>
      <c r="AB196">
        <v>3</v>
      </c>
      <c r="AO196" t="str">
        <f t="shared" si="12"/>
        <v>18-25</v>
      </c>
      <c r="BD196">
        <v>11</v>
      </c>
      <c r="BF196" cm="1">
        <f t="array" ref="BF196">CORREL(J196:J1196,S196:S1196)</f>
        <v>-0.03755229787161</v>
      </c>
      <c r="BH196">
        <v>10</v>
      </c>
      <c r="BI196">
        <f t="shared" si="13"/>
        <v>1.1</v>
      </c>
      <c r="BJ196">
        <f t="shared" si="14"/>
        <v>9.09090909090909</v>
      </c>
    </row>
    <row r="197" spans="1:62">
      <c r="A197" s="1">
        <v>700146406</v>
      </c>
      <c r="B197">
        <v>18</v>
      </c>
      <c r="C197" t="s">
        <v>73</v>
      </c>
      <c r="D197" t="s">
        <v>60</v>
      </c>
      <c r="E197" t="s">
        <v>103</v>
      </c>
      <c r="F197" t="s">
        <v>62</v>
      </c>
      <c r="G197" t="s">
        <v>74</v>
      </c>
      <c r="H197" t="s">
        <v>335</v>
      </c>
      <c r="I197" t="s">
        <v>129</v>
      </c>
      <c r="J197" s="2">
        <v>171.72</v>
      </c>
      <c r="K197">
        <v>3</v>
      </c>
      <c r="L197" t="s">
        <v>85</v>
      </c>
      <c r="M197">
        <v>5</v>
      </c>
      <c r="N197">
        <v>3</v>
      </c>
      <c r="O197">
        <v>1</v>
      </c>
      <c r="P197" t="s">
        <v>84</v>
      </c>
      <c r="Q197" t="s">
        <v>109</v>
      </c>
      <c r="R197">
        <v>1</v>
      </c>
      <c r="S197">
        <v>2</v>
      </c>
      <c r="T197" t="s">
        <v>66</v>
      </c>
      <c r="U197" t="s">
        <v>105</v>
      </c>
      <c r="V197" t="s">
        <v>81</v>
      </c>
      <c r="W197" s="3">
        <v>45375</v>
      </c>
      <c r="X197" t="b">
        <v>0</v>
      </c>
      <c r="Y197" t="b">
        <v>1</v>
      </c>
      <c r="Z197" t="s">
        <v>92</v>
      </c>
      <c r="AA197" t="s">
        <v>83</v>
      </c>
      <c r="AB197">
        <v>12</v>
      </c>
      <c r="AO197" t="str">
        <f t="shared" si="12"/>
        <v>18-25</v>
      </c>
      <c r="BD197">
        <v>3</v>
      </c>
      <c r="BF197" cm="1">
        <f t="array" ref="BF197">CORREL(J197:J1197,S197:S1197)</f>
        <v>-0.0346829365141099</v>
      </c>
      <c r="BH197">
        <v>2</v>
      </c>
      <c r="BI197">
        <f t="shared" si="13"/>
        <v>1.5</v>
      </c>
      <c r="BJ197">
        <f t="shared" si="14"/>
        <v>1.33333333333333</v>
      </c>
    </row>
    <row r="198" spans="1:62">
      <c r="A198" s="1">
        <v>529089971</v>
      </c>
      <c r="B198">
        <v>31</v>
      </c>
      <c r="C198" t="s">
        <v>73</v>
      </c>
      <c r="D198" t="s">
        <v>60</v>
      </c>
      <c r="E198" t="s">
        <v>98</v>
      </c>
      <c r="F198" t="s">
        <v>75</v>
      </c>
      <c r="G198" t="s">
        <v>60</v>
      </c>
      <c r="H198" t="s">
        <v>336</v>
      </c>
      <c r="I198" t="s">
        <v>133</v>
      </c>
      <c r="J198" s="2">
        <v>467.5</v>
      </c>
      <c r="K198">
        <v>6</v>
      </c>
      <c r="L198" t="s">
        <v>78</v>
      </c>
      <c r="M198">
        <v>2</v>
      </c>
      <c r="N198">
        <v>1</v>
      </c>
      <c r="O198">
        <v>0</v>
      </c>
      <c r="P198" t="s">
        <v>66</v>
      </c>
      <c r="Q198" t="s">
        <v>67</v>
      </c>
      <c r="R198">
        <v>1</v>
      </c>
      <c r="S198">
        <v>1</v>
      </c>
      <c r="T198" t="s">
        <v>74</v>
      </c>
      <c r="U198" t="s">
        <v>105</v>
      </c>
      <c r="V198" t="s">
        <v>81</v>
      </c>
      <c r="W198" s="3">
        <v>45386</v>
      </c>
      <c r="X198" t="b">
        <v>0</v>
      </c>
      <c r="Y198" t="b">
        <v>0</v>
      </c>
      <c r="Z198" t="s">
        <v>102</v>
      </c>
      <c r="AA198" t="s">
        <v>71</v>
      </c>
      <c r="AB198">
        <v>6</v>
      </c>
      <c r="AO198" t="str">
        <f t="shared" si="12"/>
        <v>26-40</v>
      </c>
      <c r="BD198">
        <v>6</v>
      </c>
      <c r="BF198" cm="1">
        <f t="array" ref="BF198">CORREL(J198:J1198,S198:S1198)</f>
        <v>-0.0359328267205662</v>
      </c>
      <c r="BH198">
        <v>1</v>
      </c>
      <c r="BI198">
        <f t="shared" si="13"/>
        <v>6</v>
      </c>
      <c r="BJ198">
        <f t="shared" si="14"/>
        <v>0.166666666666667</v>
      </c>
    </row>
    <row r="199" spans="1:62">
      <c r="A199" s="1">
        <v>576235362</v>
      </c>
      <c r="B199">
        <v>43</v>
      </c>
      <c r="C199" t="s">
        <v>268</v>
      </c>
      <c r="D199" t="s">
        <v>74</v>
      </c>
      <c r="E199" t="s">
        <v>61</v>
      </c>
      <c r="F199" t="s">
        <v>62</v>
      </c>
      <c r="G199" t="s">
        <v>74</v>
      </c>
      <c r="H199" t="s">
        <v>337</v>
      </c>
      <c r="I199" t="s">
        <v>100</v>
      </c>
      <c r="J199" s="2">
        <v>209.79</v>
      </c>
      <c r="K199">
        <v>6</v>
      </c>
      <c r="L199" t="s">
        <v>65</v>
      </c>
      <c r="M199">
        <v>5</v>
      </c>
      <c r="N199">
        <v>1</v>
      </c>
      <c r="O199">
        <v>2</v>
      </c>
      <c r="P199" t="s">
        <v>74</v>
      </c>
      <c r="Q199" t="s">
        <v>80</v>
      </c>
      <c r="R199">
        <v>1</v>
      </c>
      <c r="S199">
        <v>9</v>
      </c>
      <c r="T199" t="s">
        <v>84</v>
      </c>
      <c r="U199" t="s">
        <v>68</v>
      </c>
      <c r="V199" t="s">
        <v>96</v>
      </c>
      <c r="W199" s="3">
        <v>45548</v>
      </c>
      <c r="X199" t="b">
        <v>1</v>
      </c>
      <c r="Y199" t="b">
        <v>1</v>
      </c>
      <c r="Z199" t="s">
        <v>70</v>
      </c>
      <c r="AA199" t="s">
        <v>83</v>
      </c>
      <c r="AB199">
        <v>10</v>
      </c>
      <c r="AO199" t="str">
        <f t="shared" si="12"/>
        <v>41-60</v>
      </c>
      <c r="BD199">
        <v>6</v>
      </c>
      <c r="BF199" cm="1">
        <f t="array" ref="BF199">CORREL(J199:J1199,S199:S1199)</f>
        <v>-0.0331656079487214</v>
      </c>
      <c r="BH199">
        <v>9</v>
      </c>
      <c r="BI199">
        <f t="shared" si="13"/>
        <v>0.666666666666667</v>
      </c>
      <c r="BJ199">
        <f t="shared" si="14"/>
        <v>13.5</v>
      </c>
    </row>
    <row r="200" spans="1:62">
      <c r="A200" s="1">
        <v>483150196</v>
      </c>
      <c r="B200">
        <v>23</v>
      </c>
      <c r="C200" t="s">
        <v>73</v>
      </c>
      <c r="D200" t="s">
        <v>60</v>
      </c>
      <c r="E200" t="s">
        <v>86</v>
      </c>
      <c r="F200" t="s">
        <v>75</v>
      </c>
      <c r="G200" t="s">
        <v>60</v>
      </c>
      <c r="H200" t="s">
        <v>338</v>
      </c>
      <c r="I200" t="s">
        <v>89</v>
      </c>
      <c r="J200" s="2">
        <v>150.33</v>
      </c>
      <c r="K200">
        <v>9</v>
      </c>
      <c r="L200" t="s">
        <v>78</v>
      </c>
      <c r="M200">
        <v>4</v>
      </c>
      <c r="N200">
        <v>4</v>
      </c>
      <c r="O200">
        <v>2</v>
      </c>
      <c r="P200" t="s">
        <v>66</v>
      </c>
      <c r="Q200" t="s">
        <v>67</v>
      </c>
      <c r="R200">
        <v>2</v>
      </c>
      <c r="S200">
        <v>9</v>
      </c>
      <c r="T200" t="s">
        <v>79</v>
      </c>
      <c r="U200" t="s">
        <v>105</v>
      </c>
      <c r="V200" t="s">
        <v>91</v>
      </c>
      <c r="W200" s="3">
        <v>45406</v>
      </c>
      <c r="X200" t="b">
        <v>1</v>
      </c>
      <c r="Y200" t="b">
        <v>0</v>
      </c>
      <c r="Z200" t="s">
        <v>82</v>
      </c>
      <c r="AA200" t="s">
        <v>97</v>
      </c>
      <c r="AB200">
        <v>6</v>
      </c>
      <c r="AO200" t="str">
        <f t="shared" si="12"/>
        <v>18-25</v>
      </c>
      <c r="BD200">
        <v>9</v>
      </c>
      <c r="BF200" cm="1">
        <f t="array" ref="BF200">CORREL(J200:J1200,S200:S1200)</f>
        <v>-0.0324481587262097</v>
      </c>
      <c r="BH200">
        <v>9</v>
      </c>
      <c r="BI200">
        <f t="shared" si="13"/>
        <v>1</v>
      </c>
      <c r="BJ200">
        <f t="shared" si="14"/>
        <v>9</v>
      </c>
    </row>
    <row r="201" spans="1:62">
      <c r="A201" s="1">
        <v>719593896</v>
      </c>
      <c r="B201">
        <v>29</v>
      </c>
      <c r="C201" t="s">
        <v>73</v>
      </c>
      <c r="D201" t="s">
        <v>74</v>
      </c>
      <c r="E201" t="s">
        <v>61</v>
      </c>
      <c r="F201" t="s">
        <v>62</v>
      </c>
      <c r="G201" t="s">
        <v>74</v>
      </c>
      <c r="H201" t="s">
        <v>339</v>
      </c>
      <c r="I201" t="s">
        <v>118</v>
      </c>
      <c r="J201" s="2">
        <v>98.63</v>
      </c>
      <c r="K201">
        <v>7</v>
      </c>
      <c r="L201" t="s">
        <v>85</v>
      </c>
      <c r="M201">
        <v>4</v>
      </c>
      <c r="N201">
        <v>5</v>
      </c>
      <c r="O201">
        <v>2</v>
      </c>
      <c r="P201" t="s">
        <v>74</v>
      </c>
      <c r="Q201" t="s">
        <v>67</v>
      </c>
      <c r="R201">
        <v>1</v>
      </c>
      <c r="S201">
        <v>3</v>
      </c>
      <c r="T201" t="s">
        <v>84</v>
      </c>
      <c r="U201" t="s">
        <v>68</v>
      </c>
      <c r="V201" t="s">
        <v>96</v>
      </c>
      <c r="W201" s="3">
        <v>45300</v>
      </c>
      <c r="X201" t="b">
        <v>0</v>
      </c>
      <c r="Y201" t="b">
        <v>1</v>
      </c>
      <c r="Z201" t="s">
        <v>102</v>
      </c>
      <c r="AA201" t="s">
        <v>83</v>
      </c>
      <c r="AB201">
        <v>6</v>
      </c>
      <c r="AO201" t="str">
        <f t="shared" si="12"/>
        <v>26-40</v>
      </c>
      <c r="BD201">
        <v>7</v>
      </c>
      <c r="BF201" cm="1">
        <f t="array" ref="BF201">CORREL(J201:J1201,S201:S1201)</f>
        <v>-0.0310558006570737</v>
      </c>
      <c r="BH201">
        <v>3</v>
      </c>
      <c r="BI201">
        <f t="shared" si="13"/>
        <v>2.33333333333333</v>
      </c>
      <c r="BJ201">
        <f t="shared" si="14"/>
        <v>1.28571428571429</v>
      </c>
    </row>
    <row r="202" spans="1:62">
      <c r="A202" s="1">
        <v>299873969</v>
      </c>
      <c r="B202">
        <v>21</v>
      </c>
      <c r="C202" t="s">
        <v>59</v>
      </c>
      <c r="D202" t="s">
        <v>60</v>
      </c>
      <c r="E202" t="s">
        <v>103</v>
      </c>
      <c r="F202" t="s">
        <v>87</v>
      </c>
      <c r="G202" t="s">
        <v>60</v>
      </c>
      <c r="H202" t="s">
        <v>340</v>
      </c>
      <c r="I202" t="s">
        <v>174</v>
      </c>
      <c r="J202" s="2">
        <v>193.3</v>
      </c>
      <c r="K202">
        <v>11</v>
      </c>
      <c r="L202" t="s">
        <v>65</v>
      </c>
      <c r="M202">
        <v>4</v>
      </c>
      <c r="N202">
        <v>2</v>
      </c>
      <c r="O202">
        <v>2</v>
      </c>
      <c r="P202" t="s">
        <v>66</v>
      </c>
      <c r="Q202" t="s">
        <v>109</v>
      </c>
      <c r="R202">
        <v>2</v>
      </c>
      <c r="S202">
        <v>1</v>
      </c>
      <c r="T202" t="s">
        <v>79</v>
      </c>
      <c r="U202" t="s">
        <v>68</v>
      </c>
      <c r="V202" t="s">
        <v>96</v>
      </c>
      <c r="W202" s="3">
        <v>45446</v>
      </c>
      <c r="X202" t="b">
        <v>1</v>
      </c>
      <c r="Y202" t="b">
        <v>1</v>
      </c>
      <c r="Z202" t="s">
        <v>102</v>
      </c>
      <c r="AA202" t="s">
        <v>71</v>
      </c>
      <c r="AB202">
        <v>12</v>
      </c>
      <c r="AO202" t="str">
        <f t="shared" si="12"/>
        <v>18-25</v>
      </c>
      <c r="BD202">
        <v>11</v>
      </c>
      <c r="BF202" cm="1">
        <f t="array" ref="BF202">CORREL(J202:J1202,S202:S1202)</f>
        <v>-0.0325875960273696</v>
      </c>
      <c r="BH202">
        <v>1</v>
      </c>
      <c r="BI202">
        <f t="shared" si="13"/>
        <v>11</v>
      </c>
      <c r="BJ202">
        <f t="shared" si="14"/>
        <v>0.0909090909090909</v>
      </c>
    </row>
    <row r="203" spans="1:62">
      <c r="A203" s="1">
        <v>786131546</v>
      </c>
      <c r="B203">
        <v>49</v>
      </c>
      <c r="C203" t="s">
        <v>59</v>
      </c>
      <c r="D203" t="s">
        <v>60</v>
      </c>
      <c r="E203" t="s">
        <v>86</v>
      </c>
      <c r="F203" t="s">
        <v>75</v>
      </c>
      <c r="G203" t="s">
        <v>60</v>
      </c>
      <c r="H203" t="s">
        <v>341</v>
      </c>
      <c r="I203" t="s">
        <v>118</v>
      </c>
      <c r="J203" s="2">
        <v>145.02</v>
      </c>
      <c r="K203">
        <v>7</v>
      </c>
      <c r="L203" t="s">
        <v>78</v>
      </c>
      <c r="M203">
        <v>3</v>
      </c>
      <c r="N203">
        <v>2</v>
      </c>
      <c r="O203">
        <v>0</v>
      </c>
      <c r="P203" t="s">
        <v>74</v>
      </c>
      <c r="Q203" t="s">
        <v>109</v>
      </c>
      <c r="R203">
        <v>1</v>
      </c>
      <c r="S203">
        <v>1</v>
      </c>
      <c r="T203" t="s">
        <v>79</v>
      </c>
      <c r="U203" t="s">
        <v>105</v>
      </c>
      <c r="V203" t="s">
        <v>69</v>
      </c>
      <c r="W203" s="3">
        <v>45466</v>
      </c>
      <c r="X203" t="b">
        <v>1</v>
      </c>
      <c r="Y203" t="b">
        <v>1</v>
      </c>
      <c r="Z203" t="s">
        <v>82</v>
      </c>
      <c r="AA203" t="s">
        <v>97</v>
      </c>
      <c r="AB203">
        <v>9</v>
      </c>
      <c r="AO203" t="str">
        <f t="shared" si="12"/>
        <v>41-60</v>
      </c>
      <c r="BD203">
        <v>7</v>
      </c>
      <c r="BF203" cm="1">
        <f t="array" ref="BF203">CORREL(J203:J1203,S203:S1203)</f>
        <v>-0.0338883369439276</v>
      </c>
      <c r="BH203">
        <v>1</v>
      </c>
      <c r="BI203">
        <f t="shared" si="13"/>
        <v>7</v>
      </c>
      <c r="BJ203">
        <f t="shared" si="14"/>
        <v>0.142857142857143</v>
      </c>
    </row>
    <row r="204" spans="1:62">
      <c r="A204" s="1">
        <v>436644451</v>
      </c>
      <c r="B204">
        <v>30</v>
      </c>
      <c r="C204" t="s">
        <v>59</v>
      </c>
      <c r="D204" t="s">
        <v>60</v>
      </c>
      <c r="E204" t="s">
        <v>103</v>
      </c>
      <c r="F204" t="s">
        <v>87</v>
      </c>
      <c r="G204" t="s">
        <v>60</v>
      </c>
      <c r="H204" t="s">
        <v>342</v>
      </c>
      <c r="I204" t="s">
        <v>147</v>
      </c>
      <c r="J204" s="2">
        <v>294.99</v>
      </c>
      <c r="K204">
        <v>4</v>
      </c>
      <c r="L204" t="s">
        <v>85</v>
      </c>
      <c r="M204">
        <v>3</v>
      </c>
      <c r="N204">
        <v>5</v>
      </c>
      <c r="O204">
        <v>2</v>
      </c>
      <c r="P204" t="s">
        <v>84</v>
      </c>
      <c r="Q204" t="s">
        <v>67</v>
      </c>
      <c r="R204">
        <v>1</v>
      </c>
      <c r="S204">
        <v>4</v>
      </c>
      <c r="T204" t="s">
        <v>74</v>
      </c>
      <c r="U204" t="s">
        <v>105</v>
      </c>
      <c r="V204" t="s">
        <v>81</v>
      </c>
      <c r="W204" s="3">
        <v>45626</v>
      </c>
      <c r="X204" t="b">
        <v>0</v>
      </c>
      <c r="Y204" t="b">
        <v>0</v>
      </c>
      <c r="Z204" t="s">
        <v>70</v>
      </c>
      <c r="AA204" t="s">
        <v>83</v>
      </c>
      <c r="AB204">
        <v>5</v>
      </c>
      <c r="AO204" t="str">
        <f t="shared" si="12"/>
        <v>26-40</v>
      </c>
      <c r="BD204">
        <v>4</v>
      </c>
      <c r="BF204" cm="1">
        <f t="array" ref="BF204">CORREL(J204:J1204,S204:S1204)</f>
        <v>-0.0359393696202868</v>
      </c>
      <c r="BH204">
        <v>4</v>
      </c>
      <c r="BI204">
        <f t="shared" si="13"/>
        <v>1</v>
      </c>
      <c r="BJ204">
        <f t="shared" si="14"/>
        <v>4</v>
      </c>
    </row>
    <row r="205" spans="1:62">
      <c r="A205" s="1">
        <v>340953364</v>
      </c>
      <c r="B205">
        <v>31</v>
      </c>
      <c r="C205" t="s">
        <v>188</v>
      </c>
      <c r="D205" t="s">
        <v>60</v>
      </c>
      <c r="E205" t="s">
        <v>103</v>
      </c>
      <c r="F205" t="s">
        <v>75</v>
      </c>
      <c r="G205" t="s">
        <v>60</v>
      </c>
      <c r="H205" t="s">
        <v>343</v>
      </c>
      <c r="I205" t="s">
        <v>89</v>
      </c>
      <c r="J205" s="2">
        <v>305.45</v>
      </c>
      <c r="K205">
        <v>2</v>
      </c>
      <c r="L205" t="s">
        <v>65</v>
      </c>
      <c r="M205">
        <v>5</v>
      </c>
      <c r="N205">
        <v>5</v>
      </c>
      <c r="O205">
        <v>1</v>
      </c>
      <c r="P205" t="s">
        <v>66</v>
      </c>
      <c r="Q205" t="s">
        <v>109</v>
      </c>
      <c r="R205">
        <v>1</v>
      </c>
      <c r="S205">
        <v>1</v>
      </c>
      <c r="T205" t="s">
        <v>74</v>
      </c>
      <c r="U205" t="s">
        <v>90</v>
      </c>
      <c r="V205" t="s">
        <v>81</v>
      </c>
      <c r="W205" s="3">
        <v>45589</v>
      </c>
      <c r="X205" t="b">
        <v>0</v>
      </c>
      <c r="Y205" t="b">
        <v>1</v>
      </c>
      <c r="Z205" t="s">
        <v>92</v>
      </c>
      <c r="AA205" t="s">
        <v>97</v>
      </c>
      <c r="AB205">
        <v>9</v>
      </c>
      <c r="AO205" t="str">
        <f t="shared" si="12"/>
        <v>26-40</v>
      </c>
      <c r="BD205">
        <v>2</v>
      </c>
      <c r="BF205" cm="1">
        <f t="array" ref="BF205">CORREL(J205:J1205,S205:S1205)</f>
        <v>-0.0358495028706247</v>
      </c>
      <c r="BH205">
        <v>1</v>
      </c>
      <c r="BI205">
        <f t="shared" si="13"/>
        <v>2</v>
      </c>
      <c r="BJ205">
        <f t="shared" si="14"/>
        <v>0.5</v>
      </c>
    </row>
    <row r="206" spans="1:62">
      <c r="A206" s="1">
        <v>723936893</v>
      </c>
      <c r="B206">
        <v>50</v>
      </c>
      <c r="C206" t="s">
        <v>59</v>
      </c>
      <c r="D206" t="s">
        <v>60</v>
      </c>
      <c r="E206" t="s">
        <v>98</v>
      </c>
      <c r="F206" t="s">
        <v>75</v>
      </c>
      <c r="G206" t="s">
        <v>60</v>
      </c>
      <c r="H206" t="s">
        <v>344</v>
      </c>
      <c r="I206" t="s">
        <v>137</v>
      </c>
      <c r="J206" s="2">
        <v>432.42</v>
      </c>
      <c r="K206">
        <v>2</v>
      </c>
      <c r="L206" t="s">
        <v>78</v>
      </c>
      <c r="M206">
        <v>4</v>
      </c>
      <c r="N206">
        <v>4</v>
      </c>
      <c r="O206">
        <v>0</v>
      </c>
      <c r="P206" t="s">
        <v>79</v>
      </c>
      <c r="Q206" t="s">
        <v>80</v>
      </c>
      <c r="R206">
        <v>0</v>
      </c>
      <c r="S206">
        <v>8</v>
      </c>
      <c r="T206" t="s">
        <v>66</v>
      </c>
      <c r="U206" t="s">
        <v>68</v>
      </c>
      <c r="V206" t="s">
        <v>81</v>
      </c>
      <c r="W206" s="3">
        <v>45403</v>
      </c>
      <c r="X206" t="b">
        <v>0</v>
      </c>
      <c r="Y206" t="b">
        <v>1</v>
      </c>
      <c r="Z206" t="s">
        <v>70</v>
      </c>
      <c r="AA206" t="s">
        <v>97</v>
      </c>
      <c r="AB206">
        <v>13</v>
      </c>
      <c r="AO206" t="str">
        <f t="shared" si="12"/>
        <v>41-60</v>
      </c>
      <c r="BD206">
        <v>2</v>
      </c>
      <c r="BF206" cm="1">
        <f t="array" ref="BF206">CORREL(J206:J1206,S206:S1206)</f>
        <v>-0.0354619455748436</v>
      </c>
      <c r="BH206">
        <v>8</v>
      </c>
      <c r="BI206">
        <f t="shared" si="13"/>
        <v>0.25</v>
      </c>
      <c r="BJ206">
        <f t="shared" si="14"/>
        <v>32</v>
      </c>
    </row>
    <row r="207" spans="1:62">
      <c r="A207" s="1">
        <v>737072809</v>
      </c>
      <c r="B207">
        <v>35</v>
      </c>
      <c r="C207" t="s">
        <v>59</v>
      </c>
      <c r="D207" t="s">
        <v>60</v>
      </c>
      <c r="E207" t="s">
        <v>86</v>
      </c>
      <c r="F207" t="s">
        <v>62</v>
      </c>
      <c r="G207" t="s">
        <v>74</v>
      </c>
      <c r="H207" t="s">
        <v>345</v>
      </c>
      <c r="I207" t="s">
        <v>64</v>
      </c>
      <c r="J207" s="2">
        <v>227.58</v>
      </c>
      <c r="K207">
        <v>11</v>
      </c>
      <c r="L207" t="s">
        <v>65</v>
      </c>
      <c r="M207">
        <v>3</v>
      </c>
      <c r="N207">
        <v>1</v>
      </c>
      <c r="O207">
        <v>1</v>
      </c>
      <c r="P207" t="s">
        <v>66</v>
      </c>
      <c r="Q207" t="s">
        <v>80</v>
      </c>
      <c r="R207">
        <v>1</v>
      </c>
      <c r="S207">
        <v>8</v>
      </c>
      <c r="T207" t="s">
        <v>74</v>
      </c>
      <c r="U207" t="s">
        <v>90</v>
      </c>
      <c r="V207" t="s">
        <v>69</v>
      </c>
      <c r="W207" s="3">
        <v>45314</v>
      </c>
      <c r="X207" t="b">
        <v>0</v>
      </c>
      <c r="Y207" t="b">
        <v>1</v>
      </c>
      <c r="Z207" t="s">
        <v>70</v>
      </c>
      <c r="AA207" t="s">
        <v>97</v>
      </c>
      <c r="AB207">
        <v>6</v>
      </c>
      <c r="AO207" t="str">
        <f t="shared" si="12"/>
        <v>26-40</v>
      </c>
      <c r="BD207">
        <v>11</v>
      </c>
      <c r="BF207" cm="1">
        <f t="array" ref="BF207">CORREL(J207:J1207,S207:S1207)</f>
        <v>-0.0367942498048632</v>
      </c>
      <c r="BH207">
        <v>8</v>
      </c>
      <c r="BI207">
        <f t="shared" si="13"/>
        <v>1.375</v>
      </c>
      <c r="BJ207">
        <f t="shared" si="14"/>
        <v>5.81818181818182</v>
      </c>
    </row>
    <row r="208" spans="1:62">
      <c r="A208" s="4" t="s">
        <v>346</v>
      </c>
      <c r="B208">
        <v>36</v>
      </c>
      <c r="C208" t="s">
        <v>73</v>
      </c>
      <c r="D208" t="s">
        <v>60</v>
      </c>
      <c r="E208" t="s">
        <v>86</v>
      </c>
      <c r="F208" t="s">
        <v>75</v>
      </c>
      <c r="G208" t="s">
        <v>74</v>
      </c>
      <c r="H208" t="s">
        <v>247</v>
      </c>
      <c r="I208" t="s">
        <v>137</v>
      </c>
      <c r="J208" s="2">
        <v>160.89</v>
      </c>
      <c r="K208">
        <v>10</v>
      </c>
      <c r="L208" t="s">
        <v>85</v>
      </c>
      <c r="M208">
        <v>5</v>
      </c>
      <c r="N208">
        <v>5</v>
      </c>
      <c r="O208">
        <v>2</v>
      </c>
      <c r="P208" t="s">
        <v>66</v>
      </c>
      <c r="Q208" t="s">
        <v>67</v>
      </c>
      <c r="R208">
        <v>2</v>
      </c>
      <c r="S208">
        <v>6</v>
      </c>
      <c r="T208" t="s">
        <v>79</v>
      </c>
      <c r="U208" t="s">
        <v>105</v>
      </c>
      <c r="V208" t="s">
        <v>81</v>
      </c>
      <c r="W208" s="3">
        <v>45466</v>
      </c>
      <c r="X208" t="b">
        <v>1</v>
      </c>
      <c r="Y208" t="b">
        <v>1</v>
      </c>
      <c r="Z208" t="s">
        <v>102</v>
      </c>
      <c r="AA208" t="s">
        <v>71</v>
      </c>
      <c r="AB208">
        <v>13</v>
      </c>
      <c r="AO208" t="str">
        <f t="shared" si="12"/>
        <v>26-40</v>
      </c>
      <c r="BD208">
        <v>10</v>
      </c>
      <c r="BF208" cm="1">
        <f t="array" ref="BF208">CORREL(J208:J1208,S208:S1208)</f>
        <v>-0.0364175582149325</v>
      </c>
      <c r="BH208">
        <v>6</v>
      </c>
      <c r="BI208">
        <f t="shared" si="13"/>
        <v>1.66666666666667</v>
      </c>
      <c r="BJ208">
        <f t="shared" si="14"/>
        <v>3.6</v>
      </c>
    </row>
    <row r="209" spans="1:62">
      <c r="A209" s="1">
        <v>731394306</v>
      </c>
      <c r="B209">
        <v>24</v>
      </c>
      <c r="C209" t="s">
        <v>59</v>
      </c>
      <c r="D209" t="s">
        <v>60</v>
      </c>
      <c r="E209" t="s">
        <v>61</v>
      </c>
      <c r="F209" t="s">
        <v>87</v>
      </c>
      <c r="G209" t="s">
        <v>74</v>
      </c>
      <c r="H209" t="s">
        <v>347</v>
      </c>
      <c r="I209" t="s">
        <v>118</v>
      </c>
      <c r="J209" s="2">
        <v>139.1</v>
      </c>
      <c r="K209">
        <v>7</v>
      </c>
      <c r="L209" t="s">
        <v>85</v>
      </c>
      <c r="M209">
        <v>2</v>
      </c>
      <c r="N209">
        <v>5</v>
      </c>
      <c r="O209">
        <v>0</v>
      </c>
      <c r="P209" t="s">
        <v>84</v>
      </c>
      <c r="Q209" t="s">
        <v>67</v>
      </c>
      <c r="R209">
        <v>2</v>
      </c>
      <c r="S209">
        <v>3</v>
      </c>
      <c r="T209" t="s">
        <v>79</v>
      </c>
      <c r="U209" t="s">
        <v>105</v>
      </c>
      <c r="V209" t="s">
        <v>81</v>
      </c>
      <c r="W209" s="3">
        <v>45371</v>
      </c>
      <c r="X209" t="b">
        <v>0</v>
      </c>
      <c r="Y209" t="b">
        <v>0</v>
      </c>
      <c r="Z209" t="s">
        <v>92</v>
      </c>
      <c r="AA209" t="s">
        <v>71</v>
      </c>
      <c r="AB209">
        <v>8</v>
      </c>
      <c r="AO209" t="str">
        <f t="shared" si="12"/>
        <v>18-25</v>
      </c>
      <c r="BD209">
        <v>7</v>
      </c>
      <c r="BF209" cm="1">
        <f t="array" ref="BF209">CORREL(J209:J1209,S209:S1209)</f>
        <v>-0.036257766687931</v>
      </c>
      <c r="BH209">
        <v>3</v>
      </c>
      <c r="BI209">
        <f t="shared" si="13"/>
        <v>2.33333333333333</v>
      </c>
      <c r="BJ209">
        <f t="shared" si="14"/>
        <v>1.28571428571429</v>
      </c>
    </row>
    <row r="210" spans="1:62">
      <c r="A210" s="1">
        <v>237948196</v>
      </c>
      <c r="B210">
        <v>36</v>
      </c>
      <c r="C210" t="s">
        <v>150</v>
      </c>
      <c r="D210" t="s">
        <v>74</v>
      </c>
      <c r="E210" t="s">
        <v>61</v>
      </c>
      <c r="F210" t="s">
        <v>87</v>
      </c>
      <c r="G210" t="s">
        <v>60</v>
      </c>
      <c r="H210" t="s">
        <v>348</v>
      </c>
      <c r="I210" t="s">
        <v>100</v>
      </c>
      <c r="J210" s="2">
        <v>268.28</v>
      </c>
      <c r="K210">
        <v>9</v>
      </c>
      <c r="L210" t="s">
        <v>65</v>
      </c>
      <c r="M210">
        <v>5</v>
      </c>
      <c r="N210">
        <v>2</v>
      </c>
      <c r="O210">
        <v>2</v>
      </c>
      <c r="P210" t="s">
        <v>74</v>
      </c>
      <c r="Q210" t="s">
        <v>109</v>
      </c>
      <c r="R210">
        <v>2</v>
      </c>
      <c r="S210">
        <v>2</v>
      </c>
      <c r="T210" t="s">
        <v>74</v>
      </c>
      <c r="U210" t="s">
        <v>90</v>
      </c>
      <c r="V210" t="s">
        <v>69</v>
      </c>
      <c r="W210" s="3">
        <v>45391</v>
      </c>
      <c r="X210" t="b">
        <v>0</v>
      </c>
      <c r="Y210" t="b">
        <v>1</v>
      </c>
      <c r="Z210" t="s">
        <v>70</v>
      </c>
      <c r="AA210" t="s">
        <v>83</v>
      </c>
      <c r="AB210">
        <v>8</v>
      </c>
      <c r="AO210" t="str">
        <f t="shared" si="12"/>
        <v>26-40</v>
      </c>
      <c r="BD210">
        <v>9</v>
      </c>
      <c r="BF210" cm="1">
        <f t="array" ref="BF210">CORREL(J210:J1210,S210:S1210)</f>
        <v>-0.0374647812032637</v>
      </c>
      <c r="BH210">
        <v>2</v>
      </c>
      <c r="BI210">
        <f t="shared" si="13"/>
        <v>4.5</v>
      </c>
      <c r="BJ210">
        <f t="shared" si="14"/>
        <v>0.444444444444444</v>
      </c>
    </row>
    <row r="211" spans="1:62">
      <c r="A211" s="1">
        <v>660506391</v>
      </c>
      <c r="B211">
        <v>45</v>
      </c>
      <c r="C211" t="s">
        <v>59</v>
      </c>
      <c r="D211" t="s">
        <v>60</v>
      </c>
      <c r="E211" t="s">
        <v>86</v>
      </c>
      <c r="F211" t="s">
        <v>87</v>
      </c>
      <c r="G211" t="s">
        <v>74</v>
      </c>
      <c r="H211" t="s">
        <v>349</v>
      </c>
      <c r="I211" t="s">
        <v>113</v>
      </c>
      <c r="J211" s="2">
        <v>64.49</v>
      </c>
      <c r="K211">
        <v>6</v>
      </c>
      <c r="L211" t="s">
        <v>85</v>
      </c>
      <c r="M211">
        <v>2</v>
      </c>
      <c r="N211">
        <v>1</v>
      </c>
      <c r="O211">
        <v>0</v>
      </c>
      <c r="P211" t="s">
        <v>66</v>
      </c>
      <c r="Q211" t="s">
        <v>109</v>
      </c>
      <c r="R211">
        <v>1</v>
      </c>
      <c r="S211">
        <v>10</v>
      </c>
      <c r="T211" t="s">
        <v>66</v>
      </c>
      <c r="U211" t="s">
        <v>68</v>
      </c>
      <c r="V211" t="s">
        <v>96</v>
      </c>
      <c r="W211" s="3">
        <v>45584</v>
      </c>
      <c r="X211" t="b">
        <v>0</v>
      </c>
      <c r="Y211" t="b">
        <v>0</v>
      </c>
      <c r="Z211" t="s">
        <v>102</v>
      </c>
      <c r="AA211" t="s">
        <v>97</v>
      </c>
      <c r="AB211">
        <v>7</v>
      </c>
      <c r="AO211" t="str">
        <f t="shared" si="12"/>
        <v>41-60</v>
      </c>
      <c r="BD211">
        <v>6</v>
      </c>
      <c r="BF211" cm="1">
        <f t="array" ref="BF211">CORREL(J211:J1211,S211:S1211)</f>
        <v>-0.0375952228419685</v>
      </c>
      <c r="BH211">
        <v>10</v>
      </c>
      <c r="BI211">
        <f t="shared" si="13"/>
        <v>0.6</v>
      </c>
      <c r="BJ211">
        <f t="shared" si="14"/>
        <v>16.6666666666667</v>
      </c>
    </row>
    <row r="212" spans="1:62">
      <c r="A212" s="1">
        <v>223115460</v>
      </c>
      <c r="B212">
        <v>44</v>
      </c>
      <c r="C212" t="s">
        <v>73</v>
      </c>
      <c r="D212" t="s">
        <v>60</v>
      </c>
      <c r="E212" t="s">
        <v>98</v>
      </c>
      <c r="F212" t="s">
        <v>75</v>
      </c>
      <c r="G212" t="s">
        <v>60</v>
      </c>
      <c r="H212" t="s">
        <v>152</v>
      </c>
      <c r="I212" t="s">
        <v>143</v>
      </c>
      <c r="J212" s="2">
        <v>80.17</v>
      </c>
      <c r="K212">
        <v>10</v>
      </c>
      <c r="L212" t="s">
        <v>85</v>
      </c>
      <c r="M212">
        <v>1</v>
      </c>
      <c r="N212">
        <v>1</v>
      </c>
      <c r="O212">
        <v>1</v>
      </c>
      <c r="P212" t="s">
        <v>74</v>
      </c>
      <c r="Q212" t="s">
        <v>80</v>
      </c>
      <c r="R212">
        <v>1</v>
      </c>
      <c r="S212">
        <v>8</v>
      </c>
      <c r="T212" t="s">
        <v>66</v>
      </c>
      <c r="U212" t="s">
        <v>68</v>
      </c>
      <c r="V212" t="s">
        <v>69</v>
      </c>
      <c r="W212" s="3">
        <v>45422</v>
      </c>
      <c r="X212" t="b">
        <v>1</v>
      </c>
      <c r="Y212" t="b">
        <v>1</v>
      </c>
      <c r="Z212" t="s">
        <v>102</v>
      </c>
      <c r="AA212" t="s">
        <v>71</v>
      </c>
      <c r="AB212">
        <v>6</v>
      </c>
      <c r="AO212" t="str">
        <f t="shared" si="12"/>
        <v>41-60</v>
      </c>
      <c r="BD212">
        <v>10</v>
      </c>
      <c r="BF212" cm="1">
        <f t="array" ref="BF212">CORREL(J212:J1212,S212:S1212)</f>
        <v>-0.034540528056779</v>
      </c>
      <c r="BH212">
        <v>8</v>
      </c>
      <c r="BI212">
        <f t="shared" si="13"/>
        <v>1.25</v>
      </c>
      <c r="BJ212">
        <f t="shared" si="14"/>
        <v>6.4</v>
      </c>
    </row>
    <row r="213" spans="1:62">
      <c r="A213" s="1">
        <v>519170766</v>
      </c>
      <c r="B213">
        <v>28</v>
      </c>
      <c r="C213" t="s">
        <v>73</v>
      </c>
      <c r="D213" t="s">
        <v>74</v>
      </c>
      <c r="E213" t="s">
        <v>61</v>
      </c>
      <c r="F213" t="s">
        <v>87</v>
      </c>
      <c r="G213" t="s">
        <v>74</v>
      </c>
      <c r="H213" t="s">
        <v>350</v>
      </c>
      <c r="I213" t="s">
        <v>156</v>
      </c>
      <c r="J213" s="2">
        <v>277.52</v>
      </c>
      <c r="K213">
        <v>11</v>
      </c>
      <c r="L213" t="s">
        <v>78</v>
      </c>
      <c r="M213">
        <v>4</v>
      </c>
      <c r="N213">
        <v>1</v>
      </c>
      <c r="O213">
        <v>0</v>
      </c>
      <c r="P213" t="s">
        <v>66</v>
      </c>
      <c r="Q213" t="s">
        <v>80</v>
      </c>
      <c r="R213">
        <v>1</v>
      </c>
      <c r="S213">
        <v>7</v>
      </c>
      <c r="T213" t="s">
        <v>79</v>
      </c>
      <c r="U213" t="s">
        <v>90</v>
      </c>
      <c r="V213" t="s">
        <v>81</v>
      </c>
      <c r="W213" s="3">
        <v>45426</v>
      </c>
      <c r="X213" t="b">
        <v>1</v>
      </c>
      <c r="Y213" t="b">
        <v>0</v>
      </c>
      <c r="Z213" t="s">
        <v>70</v>
      </c>
      <c r="AA213" t="s">
        <v>83</v>
      </c>
      <c r="AB213">
        <v>11</v>
      </c>
      <c r="AO213" t="str">
        <f t="shared" si="12"/>
        <v>26-40</v>
      </c>
      <c r="BD213">
        <v>11</v>
      </c>
      <c r="BF213" cm="1">
        <f t="array" ref="BF213">CORREL(J213:J1213,S213:S1213)</f>
        <v>-0.0329768986237789</v>
      </c>
      <c r="BH213">
        <v>7</v>
      </c>
      <c r="BI213">
        <f t="shared" si="13"/>
        <v>1.57142857142857</v>
      </c>
      <c r="BJ213">
        <f t="shared" si="14"/>
        <v>4.45454545454546</v>
      </c>
    </row>
    <row r="214" spans="1:62">
      <c r="A214" s="1">
        <v>530131026</v>
      </c>
      <c r="B214">
        <v>40</v>
      </c>
      <c r="C214" t="s">
        <v>73</v>
      </c>
      <c r="D214" t="s">
        <v>74</v>
      </c>
      <c r="E214" t="s">
        <v>98</v>
      </c>
      <c r="F214" t="s">
        <v>87</v>
      </c>
      <c r="G214" t="s">
        <v>60</v>
      </c>
      <c r="H214" t="s">
        <v>351</v>
      </c>
      <c r="I214" t="s">
        <v>147</v>
      </c>
      <c r="J214" s="2">
        <v>53.67</v>
      </c>
      <c r="K214">
        <v>7</v>
      </c>
      <c r="L214" t="s">
        <v>85</v>
      </c>
      <c r="M214">
        <v>3</v>
      </c>
      <c r="N214">
        <v>5</v>
      </c>
      <c r="O214">
        <v>1</v>
      </c>
      <c r="P214" t="s">
        <v>74</v>
      </c>
      <c r="Q214" t="s">
        <v>80</v>
      </c>
      <c r="R214">
        <v>0</v>
      </c>
      <c r="S214">
        <v>2</v>
      </c>
      <c r="T214" t="s">
        <v>74</v>
      </c>
      <c r="U214" t="s">
        <v>105</v>
      </c>
      <c r="V214" t="s">
        <v>81</v>
      </c>
      <c r="W214" s="3">
        <v>45395</v>
      </c>
      <c r="X214" t="b">
        <v>0</v>
      </c>
      <c r="Y214" t="b">
        <v>0</v>
      </c>
      <c r="Z214" t="s">
        <v>102</v>
      </c>
      <c r="AA214" t="s">
        <v>97</v>
      </c>
      <c r="AB214">
        <v>11</v>
      </c>
      <c r="AO214" t="str">
        <f t="shared" si="12"/>
        <v>26-40</v>
      </c>
      <c r="BD214">
        <v>7</v>
      </c>
      <c r="BF214" cm="1">
        <f t="array" ref="BF214">CORREL(J214:J1214,S214:S1214)</f>
        <v>-0.0329862624597409</v>
      </c>
      <c r="BH214">
        <v>2</v>
      </c>
      <c r="BI214">
        <f t="shared" si="13"/>
        <v>3.5</v>
      </c>
      <c r="BJ214">
        <f t="shared" si="14"/>
        <v>0.571428571428571</v>
      </c>
    </row>
    <row r="215" spans="1:62">
      <c r="A215" s="1">
        <v>297793457</v>
      </c>
      <c r="B215">
        <v>49</v>
      </c>
      <c r="C215" t="s">
        <v>59</v>
      </c>
      <c r="D215" t="s">
        <v>60</v>
      </c>
      <c r="E215" t="s">
        <v>98</v>
      </c>
      <c r="F215" t="s">
        <v>62</v>
      </c>
      <c r="G215" t="s">
        <v>74</v>
      </c>
      <c r="H215" t="s">
        <v>352</v>
      </c>
      <c r="I215" t="s">
        <v>89</v>
      </c>
      <c r="J215" s="2">
        <v>323.39</v>
      </c>
      <c r="K215">
        <v>10</v>
      </c>
      <c r="L215" t="s">
        <v>78</v>
      </c>
      <c r="M215">
        <v>2</v>
      </c>
      <c r="N215">
        <v>3</v>
      </c>
      <c r="O215">
        <v>2</v>
      </c>
      <c r="P215" t="s">
        <v>66</v>
      </c>
      <c r="Q215" t="s">
        <v>109</v>
      </c>
      <c r="R215">
        <v>0</v>
      </c>
      <c r="S215">
        <v>7</v>
      </c>
      <c r="T215" t="s">
        <v>74</v>
      </c>
      <c r="U215" t="s">
        <v>68</v>
      </c>
      <c r="V215" t="s">
        <v>110</v>
      </c>
      <c r="W215" s="3">
        <v>45295</v>
      </c>
      <c r="X215" t="b">
        <v>1</v>
      </c>
      <c r="Y215" t="b">
        <v>1</v>
      </c>
      <c r="Z215" t="s">
        <v>70</v>
      </c>
      <c r="AA215" t="s">
        <v>71</v>
      </c>
      <c r="AB215">
        <v>11</v>
      </c>
      <c r="AO215" t="str">
        <f t="shared" si="12"/>
        <v>41-60</v>
      </c>
      <c r="BD215">
        <v>10</v>
      </c>
      <c r="BF215" cm="1">
        <f t="array" ref="BF215">CORREL(J215:J1215,S215:S1215)</f>
        <v>-0.0357443770673047</v>
      </c>
      <c r="BH215">
        <v>7</v>
      </c>
      <c r="BI215">
        <f t="shared" si="13"/>
        <v>1.42857142857143</v>
      </c>
      <c r="BJ215">
        <f t="shared" si="14"/>
        <v>4.9</v>
      </c>
    </row>
    <row r="216" spans="1:62">
      <c r="A216" s="1">
        <v>180475540</v>
      </c>
      <c r="B216">
        <v>50</v>
      </c>
      <c r="C216" t="s">
        <v>59</v>
      </c>
      <c r="D216" t="s">
        <v>74</v>
      </c>
      <c r="E216" t="s">
        <v>86</v>
      </c>
      <c r="F216" t="s">
        <v>62</v>
      </c>
      <c r="G216" t="s">
        <v>74</v>
      </c>
      <c r="H216" t="s">
        <v>353</v>
      </c>
      <c r="I216" t="s">
        <v>113</v>
      </c>
      <c r="J216" s="2">
        <v>98.02</v>
      </c>
      <c r="K216">
        <v>5</v>
      </c>
      <c r="L216" t="s">
        <v>78</v>
      </c>
      <c r="M216">
        <v>3</v>
      </c>
      <c r="N216">
        <v>3</v>
      </c>
      <c r="O216">
        <v>1</v>
      </c>
      <c r="P216" t="s">
        <v>84</v>
      </c>
      <c r="Q216" t="s">
        <v>80</v>
      </c>
      <c r="R216">
        <v>0</v>
      </c>
      <c r="S216">
        <v>3</v>
      </c>
      <c r="T216" t="s">
        <v>74</v>
      </c>
      <c r="U216" t="s">
        <v>105</v>
      </c>
      <c r="V216" t="s">
        <v>91</v>
      </c>
      <c r="W216" s="3">
        <v>45473</v>
      </c>
      <c r="X216" t="b">
        <v>1</v>
      </c>
      <c r="Y216" t="b">
        <v>0</v>
      </c>
      <c r="Z216" t="s">
        <v>102</v>
      </c>
      <c r="AA216" t="s">
        <v>71</v>
      </c>
      <c r="AB216">
        <v>10</v>
      </c>
      <c r="AO216" t="str">
        <f t="shared" si="12"/>
        <v>41-60</v>
      </c>
      <c r="BD216">
        <v>5</v>
      </c>
      <c r="BF216" cm="1">
        <f t="array" ref="BF216">CORREL(J216:J1216,S216:S1216)</f>
        <v>-0.0359823297750815</v>
      </c>
      <c r="BH216">
        <v>3</v>
      </c>
      <c r="BI216">
        <f t="shared" si="13"/>
        <v>1.66666666666667</v>
      </c>
      <c r="BJ216">
        <f t="shared" si="14"/>
        <v>1.8</v>
      </c>
    </row>
    <row r="217" spans="1:62">
      <c r="A217" s="1">
        <v>894385310</v>
      </c>
      <c r="B217">
        <v>24</v>
      </c>
      <c r="C217" t="s">
        <v>73</v>
      </c>
      <c r="D217" t="s">
        <v>74</v>
      </c>
      <c r="E217" t="s">
        <v>103</v>
      </c>
      <c r="F217" t="s">
        <v>62</v>
      </c>
      <c r="G217" t="s">
        <v>74</v>
      </c>
      <c r="H217" t="s">
        <v>354</v>
      </c>
      <c r="I217" t="s">
        <v>178</v>
      </c>
      <c r="J217" s="2">
        <v>231.26</v>
      </c>
      <c r="K217">
        <v>10</v>
      </c>
      <c r="L217" t="s">
        <v>78</v>
      </c>
      <c r="M217">
        <v>5</v>
      </c>
      <c r="N217">
        <v>1</v>
      </c>
      <c r="O217">
        <v>2</v>
      </c>
      <c r="P217" t="s">
        <v>84</v>
      </c>
      <c r="Q217" t="s">
        <v>109</v>
      </c>
      <c r="R217">
        <v>2</v>
      </c>
      <c r="S217">
        <v>5</v>
      </c>
      <c r="T217" t="s">
        <v>84</v>
      </c>
      <c r="U217" t="s">
        <v>105</v>
      </c>
      <c r="V217" t="s">
        <v>110</v>
      </c>
      <c r="W217" s="3">
        <v>45412</v>
      </c>
      <c r="X217" t="b">
        <v>0</v>
      </c>
      <c r="Y217" t="b">
        <v>1</v>
      </c>
      <c r="Z217" t="s">
        <v>92</v>
      </c>
      <c r="AA217" t="s">
        <v>71</v>
      </c>
      <c r="AB217">
        <v>10</v>
      </c>
      <c r="AO217" t="str">
        <f t="shared" si="12"/>
        <v>18-25</v>
      </c>
      <c r="BD217">
        <v>10</v>
      </c>
      <c r="BF217" cm="1">
        <f t="array" ref="BF217">CORREL(J217:J1217,S217:S1217)</f>
        <v>-0.0375807415111068</v>
      </c>
      <c r="BH217">
        <v>5</v>
      </c>
      <c r="BI217">
        <f t="shared" si="13"/>
        <v>2</v>
      </c>
      <c r="BJ217">
        <f t="shared" si="14"/>
        <v>2.5</v>
      </c>
    </row>
    <row r="218" spans="1:62">
      <c r="A218" s="1">
        <v>239853535</v>
      </c>
      <c r="B218">
        <v>26</v>
      </c>
      <c r="C218" t="s">
        <v>73</v>
      </c>
      <c r="D218" t="s">
        <v>74</v>
      </c>
      <c r="E218" t="s">
        <v>86</v>
      </c>
      <c r="F218" t="s">
        <v>87</v>
      </c>
      <c r="G218" t="s">
        <v>60</v>
      </c>
      <c r="H218" t="s">
        <v>355</v>
      </c>
      <c r="I218" t="s">
        <v>77</v>
      </c>
      <c r="J218" s="2">
        <v>382.49</v>
      </c>
      <c r="K218">
        <v>6</v>
      </c>
      <c r="L218" t="s">
        <v>78</v>
      </c>
      <c r="M218">
        <v>4</v>
      </c>
      <c r="N218">
        <v>2</v>
      </c>
      <c r="O218">
        <v>2</v>
      </c>
      <c r="P218" t="s">
        <v>66</v>
      </c>
      <c r="Q218" t="s">
        <v>109</v>
      </c>
      <c r="R218">
        <v>2</v>
      </c>
      <c r="S218">
        <v>3</v>
      </c>
      <c r="T218" t="s">
        <v>79</v>
      </c>
      <c r="U218" t="s">
        <v>68</v>
      </c>
      <c r="V218" t="s">
        <v>91</v>
      </c>
      <c r="W218" s="3">
        <v>45323</v>
      </c>
      <c r="X218" t="b">
        <v>1</v>
      </c>
      <c r="Y218" t="b">
        <v>0</v>
      </c>
      <c r="Z218" t="s">
        <v>92</v>
      </c>
      <c r="AA218" t="s">
        <v>71</v>
      </c>
      <c r="AB218">
        <v>1</v>
      </c>
      <c r="AO218" t="str">
        <f t="shared" si="12"/>
        <v>26-40</v>
      </c>
      <c r="BD218">
        <v>6</v>
      </c>
      <c r="BF218" cm="1">
        <f t="array" ref="BF218">CORREL(J218:J1218,S218:S1218)</f>
        <v>-0.037668563620149</v>
      </c>
      <c r="BH218">
        <v>3</v>
      </c>
      <c r="BI218">
        <f t="shared" si="13"/>
        <v>2</v>
      </c>
      <c r="BJ218">
        <f t="shared" si="14"/>
        <v>1.5</v>
      </c>
    </row>
    <row r="219" spans="1:62">
      <c r="A219" s="1">
        <v>679392463</v>
      </c>
      <c r="B219">
        <v>28</v>
      </c>
      <c r="C219" t="s">
        <v>73</v>
      </c>
      <c r="D219" t="s">
        <v>60</v>
      </c>
      <c r="E219" t="s">
        <v>103</v>
      </c>
      <c r="F219" t="s">
        <v>87</v>
      </c>
      <c r="G219" t="s">
        <v>74</v>
      </c>
      <c r="H219" t="s">
        <v>356</v>
      </c>
      <c r="I219" t="s">
        <v>178</v>
      </c>
      <c r="J219" s="2">
        <v>255.42</v>
      </c>
      <c r="K219">
        <v>9</v>
      </c>
      <c r="L219" t="s">
        <v>65</v>
      </c>
      <c r="M219">
        <v>5</v>
      </c>
      <c r="N219">
        <v>5</v>
      </c>
      <c r="O219">
        <v>2</v>
      </c>
      <c r="P219" t="s">
        <v>66</v>
      </c>
      <c r="Q219" t="s">
        <v>67</v>
      </c>
      <c r="R219">
        <v>1</v>
      </c>
      <c r="S219">
        <v>9</v>
      </c>
      <c r="T219" t="s">
        <v>66</v>
      </c>
      <c r="U219" t="s">
        <v>68</v>
      </c>
      <c r="V219" t="s">
        <v>81</v>
      </c>
      <c r="W219" s="3">
        <v>45474</v>
      </c>
      <c r="X219" t="b">
        <v>1</v>
      </c>
      <c r="Y219" t="b">
        <v>1</v>
      </c>
      <c r="Z219" t="s">
        <v>92</v>
      </c>
      <c r="AA219" t="s">
        <v>83</v>
      </c>
      <c r="AB219">
        <v>11</v>
      </c>
      <c r="AO219" t="str">
        <f t="shared" si="12"/>
        <v>26-40</v>
      </c>
      <c r="BD219">
        <v>9</v>
      </c>
      <c r="BF219" cm="1">
        <f t="array" ref="BF219">CORREL(J219:J1219,S219:S1219)</f>
        <v>-0.03679601975971</v>
      </c>
      <c r="BH219">
        <v>9</v>
      </c>
      <c r="BI219">
        <f t="shared" si="13"/>
        <v>1</v>
      </c>
      <c r="BJ219">
        <f t="shared" si="14"/>
        <v>9</v>
      </c>
    </row>
    <row r="220" spans="1:62">
      <c r="A220" s="4" t="s">
        <v>357</v>
      </c>
      <c r="B220">
        <v>48</v>
      </c>
      <c r="C220" t="s">
        <v>59</v>
      </c>
      <c r="D220" t="s">
        <v>60</v>
      </c>
      <c r="E220" t="s">
        <v>86</v>
      </c>
      <c r="F220" t="s">
        <v>75</v>
      </c>
      <c r="G220" t="s">
        <v>74</v>
      </c>
      <c r="H220" t="s">
        <v>358</v>
      </c>
      <c r="I220" t="s">
        <v>137</v>
      </c>
      <c r="J220" s="2">
        <v>423.23</v>
      </c>
      <c r="K220">
        <v>12</v>
      </c>
      <c r="L220" t="s">
        <v>78</v>
      </c>
      <c r="M220">
        <v>3</v>
      </c>
      <c r="N220">
        <v>3</v>
      </c>
      <c r="O220">
        <v>2</v>
      </c>
      <c r="P220" t="s">
        <v>74</v>
      </c>
      <c r="Q220" t="s">
        <v>67</v>
      </c>
      <c r="R220">
        <v>0</v>
      </c>
      <c r="S220">
        <v>7</v>
      </c>
      <c r="T220" t="s">
        <v>84</v>
      </c>
      <c r="U220" t="s">
        <v>68</v>
      </c>
      <c r="V220" t="s">
        <v>91</v>
      </c>
      <c r="W220" s="3">
        <v>45601</v>
      </c>
      <c r="X220" t="b">
        <v>0</v>
      </c>
      <c r="Y220" t="b">
        <v>0</v>
      </c>
      <c r="Z220" t="s">
        <v>102</v>
      </c>
      <c r="AA220" t="s">
        <v>83</v>
      </c>
      <c r="AB220">
        <v>6</v>
      </c>
      <c r="AO220" t="str">
        <f t="shared" ref="AO220:AO283" si="15">IF(B220&lt;=25,"18-25",IF(B220&lt;=40,"26-40",IF(B220&lt;=60,"41-60","Above60")))</f>
        <v>41-60</v>
      </c>
      <c r="BD220">
        <v>12</v>
      </c>
      <c r="BF220" cm="1">
        <f t="array" ref="BF220">CORREL(J220:J1220,S220:S1220)</f>
        <v>-0.0365764895829988</v>
      </c>
      <c r="BH220">
        <v>7</v>
      </c>
      <c r="BI220">
        <f t="shared" si="13"/>
        <v>1.71428571428571</v>
      </c>
      <c r="BJ220">
        <f t="shared" si="14"/>
        <v>4.08333333333333</v>
      </c>
    </row>
    <row r="221" spans="1:62">
      <c r="A221" s="1">
        <v>867496914</v>
      </c>
      <c r="B221">
        <v>47</v>
      </c>
      <c r="C221" t="s">
        <v>73</v>
      </c>
      <c r="D221" t="s">
        <v>60</v>
      </c>
      <c r="E221" t="s">
        <v>86</v>
      </c>
      <c r="F221" t="s">
        <v>75</v>
      </c>
      <c r="G221" t="s">
        <v>74</v>
      </c>
      <c r="H221" t="s">
        <v>359</v>
      </c>
      <c r="I221" t="s">
        <v>174</v>
      </c>
      <c r="J221" s="2">
        <v>276.08</v>
      </c>
      <c r="K221">
        <v>4</v>
      </c>
      <c r="L221" t="s">
        <v>65</v>
      </c>
      <c r="M221">
        <v>4</v>
      </c>
      <c r="N221">
        <v>5</v>
      </c>
      <c r="O221">
        <v>0.3</v>
      </c>
      <c r="P221" t="s">
        <v>74</v>
      </c>
      <c r="Q221" t="s">
        <v>67</v>
      </c>
      <c r="R221">
        <v>2</v>
      </c>
      <c r="S221">
        <v>10</v>
      </c>
      <c r="T221" t="s">
        <v>84</v>
      </c>
      <c r="U221" t="s">
        <v>90</v>
      </c>
      <c r="V221" t="s">
        <v>69</v>
      </c>
      <c r="W221" s="3">
        <v>45320</v>
      </c>
      <c r="X221" t="b">
        <v>0</v>
      </c>
      <c r="Y221" t="b">
        <v>1</v>
      </c>
      <c r="Z221" t="s">
        <v>70</v>
      </c>
      <c r="AA221" t="s">
        <v>71</v>
      </c>
      <c r="AB221">
        <v>10</v>
      </c>
      <c r="AO221" t="str">
        <f t="shared" si="15"/>
        <v>41-60</v>
      </c>
      <c r="BD221">
        <v>4</v>
      </c>
      <c r="BF221" cm="1">
        <f t="array" ref="BF221">CORREL(J221:J1221,S221:S1221)</f>
        <v>-0.0373363628922906</v>
      </c>
      <c r="BH221">
        <v>10</v>
      </c>
      <c r="BI221">
        <f t="shared" si="13"/>
        <v>0.4</v>
      </c>
      <c r="BJ221">
        <f t="shared" si="14"/>
        <v>25</v>
      </c>
    </row>
    <row r="222" spans="1:62">
      <c r="A222" s="4" t="s">
        <v>360</v>
      </c>
      <c r="B222">
        <v>25</v>
      </c>
      <c r="C222" t="s">
        <v>73</v>
      </c>
      <c r="D222" t="s">
        <v>60</v>
      </c>
      <c r="E222" t="s">
        <v>98</v>
      </c>
      <c r="F222" t="s">
        <v>62</v>
      </c>
      <c r="G222" t="s">
        <v>60</v>
      </c>
      <c r="H222" t="s">
        <v>361</v>
      </c>
      <c r="I222" t="s">
        <v>107</v>
      </c>
      <c r="J222" s="2">
        <v>333.56</v>
      </c>
      <c r="K222">
        <v>3</v>
      </c>
      <c r="L222" t="s">
        <v>65</v>
      </c>
      <c r="M222">
        <v>4</v>
      </c>
      <c r="N222">
        <v>5</v>
      </c>
      <c r="O222">
        <v>1</v>
      </c>
      <c r="P222" t="s">
        <v>84</v>
      </c>
      <c r="Q222" t="s">
        <v>80</v>
      </c>
      <c r="R222">
        <v>2</v>
      </c>
      <c r="S222">
        <v>2</v>
      </c>
      <c r="T222" t="s">
        <v>74</v>
      </c>
      <c r="U222" t="s">
        <v>90</v>
      </c>
      <c r="V222" t="s">
        <v>96</v>
      </c>
      <c r="W222" s="3">
        <v>45590</v>
      </c>
      <c r="X222" t="b">
        <v>1</v>
      </c>
      <c r="Y222" t="b">
        <v>1</v>
      </c>
      <c r="Z222" t="s">
        <v>92</v>
      </c>
      <c r="AA222" t="s">
        <v>71</v>
      </c>
      <c r="AB222">
        <v>14</v>
      </c>
      <c r="AO222" t="str">
        <f t="shared" si="15"/>
        <v>18-25</v>
      </c>
      <c r="BD222">
        <v>3</v>
      </c>
      <c r="BF222" cm="1">
        <f t="array" ref="BF222">CORREL(J222:J1222,S222:S1222)</f>
        <v>-0.0373813102729658</v>
      </c>
      <c r="BH222">
        <v>2</v>
      </c>
      <c r="BI222">
        <f t="shared" si="13"/>
        <v>1.5</v>
      </c>
      <c r="BJ222">
        <f t="shared" si="14"/>
        <v>1.33333333333333</v>
      </c>
    </row>
    <row r="223" spans="1:62">
      <c r="A223" s="4" t="s">
        <v>362</v>
      </c>
      <c r="B223">
        <v>39</v>
      </c>
      <c r="C223" t="s">
        <v>73</v>
      </c>
      <c r="D223" t="s">
        <v>74</v>
      </c>
      <c r="E223" t="s">
        <v>103</v>
      </c>
      <c r="F223" t="s">
        <v>62</v>
      </c>
      <c r="G223" t="s">
        <v>60</v>
      </c>
      <c r="H223" t="s">
        <v>363</v>
      </c>
      <c r="I223" t="s">
        <v>156</v>
      </c>
      <c r="J223" s="2">
        <v>129.82</v>
      </c>
      <c r="K223">
        <v>12</v>
      </c>
      <c r="L223" t="s">
        <v>65</v>
      </c>
      <c r="M223">
        <v>1</v>
      </c>
      <c r="N223">
        <v>2</v>
      </c>
      <c r="O223">
        <v>0</v>
      </c>
      <c r="P223" t="s">
        <v>74</v>
      </c>
      <c r="Q223" t="s">
        <v>80</v>
      </c>
      <c r="R223">
        <v>2</v>
      </c>
      <c r="S223">
        <v>1</v>
      </c>
      <c r="T223" t="s">
        <v>74</v>
      </c>
      <c r="U223" t="s">
        <v>68</v>
      </c>
      <c r="V223" t="s">
        <v>110</v>
      </c>
      <c r="W223" s="3">
        <v>45446</v>
      </c>
      <c r="X223" t="b">
        <v>0</v>
      </c>
      <c r="Y223" t="b">
        <v>0</v>
      </c>
      <c r="Z223" t="s">
        <v>92</v>
      </c>
      <c r="AA223" t="s">
        <v>83</v>
      </c>
      <c r="AB223">
        <v>8</v>
      </c>
      <c r="AO223" t="str">
        <f t="shared" si="15"/>
        <v>26-40</v>
      </c>
      <c r="BD223">
        <v>12</v>
      </c>
      <c r="BF223" cm="1">
        <f t="array" ref="BF223">CORREL(J223:J1223,S223:S1223)</f>
        <v>-0.0367411108644231</v>
      </c>
      <c r="BH223">
        <v>1</v>
      </c>
      <c r="BI223">
        <f t="shared" si="13"/>
        <v>12</v>
      </c>
      <c r="BJ223">
        <f t="shared" si="14"/>
        <v>0.0833333333333333</v>
      </c>
    </row>
    <row r="224" spans="1:62">
      <c r="A224" s="1">
        <v>685074747</v>
      </c>
      <c r="B224">
        <v>41</v>
      </c>
      <c r="C224" t="s">
        <v>59</v>
      </c>
      <c r="D224" t="s">
        <v>74</v>
      </c>
      <c r="E224" t="s">
        <v>98</v>
      </c>
      <c r="F224" t="s">
        <v>75</v>
      </c>
      <c r="G224" t="s">
        <v>74</v>
      </c>
      <c r="H224" t="s">
        <v>364</v>
      </c>
      <c r="I224" t="s">
        <v>171</v>
      </c>
      <c r="J224" s="2">
        <v>278.78</v>
      </c>
      <c r="K224">
        <v>3</v>
      </c>
      <c r="L224" t="s">
        <v>65</v>
      </c>
      <c r="M224">
        <v>5</v>
      </c>
      <c r="N224">
        <v>2</v>
      </c>
      <c r="O224">
        <v>0</v>
      </c>
      <c r="P224" t="s">
        <v>79</v>
      </c>
      <c r="Q224" t="s">
        <v>80</v>
      </c>
      <c r="R224">
        <v>0</v>
      </c>
      <c r="S224">
        <v>1</v>
      </c>
      <c r="T224" t="s">
        <v>84</v>
      </c>
      <c r="U224" t="s">
        <v>105</v>
      </c>
      <c r="V224" t="s">
        <v>69</v>
      </c>
      <c r="W224" s="3">
        <v>45457</v>
      </c>
      <c r="X224" t="b">
        <v>1</v>
      </c>
      <c r="Y224" t="b">
        <v>0</v>
      </c>
      <c r="Z224" t="s">
        <v>82</v>
      </c>
      <c r="AA224" t="s">
        <v>83</v>
      </c>
      <c r="AB224">
        <v>2</v>
      </c>
      <c r="AO224" t="str">
        <f t="shared" si="15"/>
        <v>41-60</v>
      </c>
      <c r="BD224">
        <v>3</v>
      </c>
      <c r="BF224" cm="1">
        <f t="array" ref="BF224">CORREL(J224:J1224,S224:S1224)</f>
        <v>-0.039108369762206</v>
      </c>
      <c r="BH224">
        <v>1</v>
      </c>
      <c r="BI224">
        <f t="shared" si="13"/>
        <v>3</v>
      </c>
      <c r="BJ224">
        <f t="shared" si="14"/>
        <v>0.333333333333333</v>
      </c>
    </row>
    <row r="225" spans="1:62">
      <c r="A225" s="1">
        <v>739428440</v>
      </c>
      <c r="B225">
        <v>37</v>
      </c>
      <c r="C225" t="s">
        <v>73</v>
      </c>
      <c r="D225" t="s">
        <v>60</v>
      </c>
      <c r="E225" t="s">
        <v>61</v>
      </c>
      <c r="F225" t="s">
        <v>62</v>
      </c>
      <c r="G225" t="s">
        <v>74</v>
      </c>
      <c r="H225" t="s">
        <v>365</v>
      </c>
      <c r="I225" t="s">
        <v>64</v>
      </c>
      <c r="J225" s="2">
        <v>112.55</v>
      </c>
      <c r="K225">
        <v>5</v>
      </c>
      <c r="L225" t="s">
        <v>78</v>
      </c>
      <c r="M225">
        <v>1</v>
      </c>
      <c r="N225">
        <v>4</v>
      </c>
      <c r="O225">
        <v>2</v>
      </c>
      <c r="P225" t="s">
        <v>66</v>
      </c>
      <c r="Q225" t="s">
        <v>109</v>
      </c>
      <c r="R225">
        <v>2</v>
      </c>
      <c r="S225">
        <v>1</v>
      </c>
      <c r="T225" t="s">
        <v>84</v>
      </c>
      <c r="U225" t="s">
        <v>105</v>
      </c>
      <c r="V225" t="s">
        <v>69</v>
      </c>
      <c r="W225" s="3">
        <v>45587</v>
      </c>
      <c r="X225" t="b">
        <v>1</v>
      </c>
      <c r="Y225" t="b">
        <v>0</v>
      </c>
      <c r="Z225" t="s">
        <v>102</v>
      </c>
      <c r="AA225" t="s">
        <v>83</v>
      </c>
      <c r="AB225">
        <v>2</v>
      </c>
      <c r="AO225" t="str">
        <f t="shared" si="15"/>
        <v>26-40</v>
      </c>
      <c r="BD225">
        <v>5</v>
      </c>
      <c r="BF225" cm="1">
        <f t="array" ref="BF225">CORREL(J225:J1225,S225:S1225)</f>
        <v>-0.039145395091753</v>
      </c>
      <c r="BH225">
        <v>1</v>
      </c>
      <c r="BI225">
        <f t="shared" si="13"/>
        <v>5</v>
      </c>
      <c r="BJ225">
        <f t="shared" si="14"/>
        <v>0.2</v>
      </c>
    </row>
    <row r="226" spans="1:62">
      <c r="A226" s="1">
        <v>218216398</v>
      </c>
      <c r="B226">
        <v>50</v>
      </c>
      <c r="C226" t="s">
        <v>59</v>
      </c>
      <c r="D226" t="s">
        <v>60</v>
      </c>
      <c r="E226" t="s">
        <v>103</v>
      </c>
      <c r="F226" t="s">
        <v>62</v>
      </c>
      <c r="G226" t="s">
        <v>74</v>
      </c>
      <c r="H226" t="s">
        <v>366</v>
      </c>
      <c r="I226" t="s">
        <v>137</v>
      </c>
      <c r="J226" s="2">
        <v>142.02</v>
      </c>
      <c r="K226">
        <v>7</v>
      </c>
      <c r="L226" t="s">
        <v>78</v>
      </c>
      <c r="M226">
        <v>1</v>
      </c>
      <c r="N226">
        <v>5</v>
      </c>
      <c r="O226">
        <v>0</v>
      </c>
      <c r="P226" t="s">
        <v>84</v>
      </c>
      <c r="Q226" t="s">
        <v>109</v>
      </c>
      <c r="R226">
        <v>1</v>
      </c>
      <c r="S226">
        <v>9</v>
      </c>
      <c r="T226" t="s">
        <v>79</v>
      </c>
      <c r="U226" t="s">
        <v>105</v>
      </c>
      <c r="V226" t="s">
        <v>110</v>
      </c>
      <c r="W226" s="3">
        <v>45482</v>
      </c>
      <c r="X226" t="b">
        <v>1</v>
      </c>
      <c r="Y226" t="b">
        <v>0</v>
      </c>
      <c r="Z226" t="s">
        <v>92</v>
      </c>
      <c r="AA226" t="s">
        <v>83</v>
      </c>
      <c r="AB226">
        <v>3</v>
      </c>
      <c r="AO226" t="str">
        <f t="shared" si="15"/>
        <v>41-60</v>
      </c>
      <c r="BD226">
        <v>7</v>
      </c>
      <c r="BF226" cm="1">
        <f t="array" ref="BF226">CORREL(J226:J1226,S226:S1226)</f>
        <v>-0.0418151393599455</v>
      </c>
      <c r="BH226">
        <v>9</v>
      </c>
      <c r="BI226">
        <f t="shared" si="13"/>
        <v>0.777777777777778</v>
      </c>
      <c r="BJ226">
        <f t="shared" si="14"/>
        <v>11.5714285714286</v>
      </c>
    </row>
    <row r="227" spans="1:62">
      <c r="A227" s="1">
        <v>646417874</v>
      </c>
      <c r="B227">
        <v>33</v>
      </c>
      <c r="C227" t="s">
        <v>59</v>
      </c>
      <c r="D227" t="s">
        <v>74</v>
      </c>
      <c r="E227" t="s">
        <v>98</v>
      </c>
      <c r="F227" t="s">
        <v>75</v>
      </c>
      <c r="G227" t="s">
        <v>74</v>
      </c>
      <c r="H227" t="s">
        <v>367</v>
      </c>
      <c r="I227" t="s">
        <v>129</v>
      </c>
      <c r="J227" s="2">
        <v>481.84</v>
      </c>
      <c r="K227">
        <v>10</v>
      </c>
      <c r="L227" t="s">
        <v>78</v>
      </c>
      <c r="M227">
        <v>1</v>
      </c>
      <c r="N227">
        <v>4</v>
      </c>
      <c r="O227">
        <v>2</v>
      </c>
      <c r="P227" t="s">
        <v>74</v>
      </c>
      <c r="Q227" t="s">
        <v>67</v>
      </c>
      <c r="R227">
        <v>1</v>
      </c>
      <c r="S227">
        <v>1</v>
      </c>
      <c r="T227" t="s">
        <v>79</v>
      </c>
      <c r="U227" t="s">
        <v>68</v>
      </c>
      <c r="V227" t="s">
        <v>110</v>
      </c>
      <c r="W227" s="3">
        <v>45518</v>
      </c>
      <c r="X227" t="b">
        <v>0</v>
      </c>
      <c r="Y227" t="b">
        <v>0</v>
      </c>
      <c r="Z227" t="s">
        <v>82</v>
      </c>
      <c r="AA227" t="s">
        <v>97</v>
      </c>
      <c r="AB227">
        <v>9</v>
      </c>
      <c r="AO227" t="str">
        <f t="shared" si="15"/>
        <v>26-40</v>
      </c>
      <c r="BD227">
        <v>10</v>
      </c>
      <c r="BF227" cm="1">
        <f t="array" ref="BF227">CORREL(J227:J1227,S227:S1227)</f>
        <v>-0.040281883371144</v>
      </c>
      <c r="BH227">
        <v>1</v>
      </c>
      <c r="BI227">
        <f t="shared" si="13"/>
        <v>10</v>
      </c>
      <c r="BJ227">
        <f t="shared" si="14"/>
        <v>0.1</v>
      </c>
    </row>
    <row r="228" spans="1:62">
      <c r="A228" s="1">
        <v>534597870</v>
      </c>
      <c r="B228">
        <v>50</v>
      </c>
      <c r="C228" t="s">
        <v>224</v>
      </c>
      <c r="D228" t="s">
        <v>74</v>
      </c>
      <c r="E228" t="s">
        <v>103</v>
      </c>
      <c r="F228" t="s">
        <v>87</v>
      </c>
      <c r="G228" t="s">
        <v>60</v>
      </c>
      <c r="H228" t="s">
        <v>368</v>
      </c>
      <c r="I228" t="s">
        <v>129</v>
      </c>
      <c r="J228" s="2">
        <v>165.01</v>
      </c>
      <c r="K228">
        <v>10</v>
      </c>
      <c r="L228" t="s">
        <v>65</v>
      </c>
      <c r="M228">
        <v>1</v>
      </c>
      <c r="N228">
        <v>2</v>
      </c>
      <c r="O228">
        <v>1</v>
      </c>
      <c r="P228" t="s">
        <v>79</v>
      </c>
      <c r="Q228" t="s">
        <v>67</v>
      </c>
      <c r="R228">
        <v>1</v>
      </c>
      <c r="S228">
        <v>5</v>
      </c>
      <c r="T228" t="s">
        <v>79</v>
      </c>
      <c r="U228" t="s">
        <v>105</v>
      </c>
      <c r="V228" t="s">
        <v>81</v>
      </c>
      <c r="W228" s="3">
        <v>45399</v>
      </c>
      <c r="X228" t="b">
        <v>1</v>
      </c>
      <c r="Y228" t="b">
        <v>0</v>
      </c>
      <c r="Z228" t="s">
        <v>92</v>
      </c>
      <c r="AA228" t="s">
        <v>71</v>
      </c>
      <c r="AB228">
        <v>10</v>
      </c>
      <c r="AO228" t="str">
        <f t="shared" si="15"/>
        <v>41-60</v>
      </c>
      <c r="BD228">
        <v>10</v>
      </c>
      <c r="BF228" cm="1">
        <f t="array" ref="BF228">CORREL(J228:J1228,S228:S1228)</f>
        <v>-0.0372063148227509</v>
      </c>
      <c r="BH228">
        <v>5</v>
      </c>
      <c r="BI228">
        <f t="shared" si="13"/>
        <v>2</v>
      </c>
      <c r="BJ228">
        <f t="shared" si="14"/>
        <v>2.5</v>
      </c>
    </row>
    <row r="229" spans="1:62">
      <c r="A229" s="1">
        <v>362403240</v>
      </c>
      <c r="B229">
        <v>25</v>
      </c>
      <c r="C229" t="s">
        <v>73</v>
      </c>
      <c r="D229" t="s">
        <v>60</v>
      </c>
      <c r="E229" t="s">
        <v>103</v>
      </c>
      <c r="F229" t="s">
        <v>75</v>
      </c>
      <c r="G229" t="s">
        <v>60</v>
      </c>
      <c r="H229" t="s">
        <v>369</v>
      </c>
      <c r="I229" t="s">
        <v>135</v>
      </c>
      <c r="J229" s="2">
        <v>56.85</v>
      </c>
      <c r="K229">
        <v>5</v>
      </c>
      <c r="L229" t="s">
        <v>85</v>
      </c>
      <c r="M229">
        <v>2</v>
      </c>
      <c r="N229">
        <v>1</v>
      </c>
      <c r="O229">
        <v>2</v>
      </c>
      <c r="P229" t="s">
        <v>66</v>
      </c>
      <c r="Q229" t="s">
        <v>109</v>
      </c>
      <c r="R229">
        <v>0</v>
      </c>
      <c r="S229">
        <v>1</v>
      </c>
      <c r="T229" t="s">
        <v>74</v>
      </c>
      <c r="U229" t="s">
        <v>90</v>
      </c>
      <c r="V229" t="s">
        <v>110</v>
      </c>
      <c r="W229" s="3">
        <v>45612</v>
      </c>
      <c r="X229" t="b">
        <v>1</v>
      </c>
      <c r="Y229" t="b">
        <v>0</v>
      </c>
      <c r="Z229" t="s">
        <v>82</v>
      </c>
      <c r="AA229" t="s">
        <v>83</v>
      </c>
      <c r="AB229">
        <v>14</v>
      </c>
      <c r="AO229" t="str">
        <f t="shared" si="15"/>
        <v>18-25</v>
      </c>
      <c r="BD229">
        <v>5</v>
      </c>
      <c r="BF229" cm="1">
        <f t="array" ref="BF229">CORREL(J229:J1229,S229:S1229)</f>
        <v>-0.0374395850257276</v>
      </c>
      <c r="BH229">
        <v>1</v>
      </c>
      <c r="BI229">
        <f t="shared" si="13"/>
        <v>5</v>
      </c>
      <c r="BJ229">
        <f t="shared" si="14"/>
        <v>0.2</v>
      </c>
    </row>
    <row r="230" spans="1:62">
      <c r="A230" s="1">
        <v>549364361</v>
      </c>
      <c r="B230">
        <v>34</v>
      </c>
      <c r="C230" t="s">
        <v>224</v>
      </c>
      <c r="D230" t="s">
        <v>74</v>
      </c>
      <c r="E230" t="s">
        <v>86</v>
      </c>
      <c r="F230" t="s">
        <v>62</v>
      </c>
      <c r="G230" t="s">
        <v>74</v>
      </c>
      <c r="H230" t="s">
        <v>370</v>
      </c>
      <c r="I230" t="s">
        <v>124</v>
      </c>
      <c r="J230" s="2">
        <v>182.89</v>
      </c>
      <c r="K230">
        <v>2</v>
      </c>
      <c r="L230" t="s">
        <v>65</v>
      </c>
      <c r="M230">
        <v>5</v>
      </c>
      <c r="N230">
        <v>3</v>
      </c>
      <c r="O230">
        <v>1</v>
      </c>
      <c r="P230" t="s">
        <v>84</v>
      </c>
      <c r="Q230" t="s">
        <v>80</v>
      </c>
      <c r="R230">
        <v>1</v>
      </c>
      <c r="S230">
        <v>9</v>
      </c>
      <c r="T230" t="s">
        <v>84</v>
      </c>
      <c r="U230" t="s">
        <v>90</v>
      </c>
      <c r="V230" t="s">
        <v>81</v>
      </c>
      <c r="W230" s="3">
        <v>45516</v>
      </c>
      <c r="X230" t="b">
        <v>0</v>
      </c>
      <c r="Y230" t="b">
        <v>0</v>
      </c>
      <c r="Z230" t="s">
        <v>82</v>
      </c>
      <c r="AA230" t="s">
        <v>97</v>
      </c>
      <c r="AB230">
        <v>5</v>
      </c>
      <c r="AO230" t="str">
        <f t="shared" si="15"/>
        <v>26-40</v>
      </c>
      <c r="BD230">
        <v>2</v>
      </c>
      <c r="BF230" cm="1">
        <f t="array" ref="BF230">CORREL(J230:J1230,S230:S1230)</f>
        <v>-0.0410456863553442</v>
      </c>
      <c r="BH230">
        <v>9</v>
      </c>
      <c r="BI230">
        <f t="shared" si="13"/>
        <v>0.222222222222222</v>
      </c>
      <c r="BJ230">
        <f t="shared" si="14"/>
        <v>40.5</v>
      </c>
    </row>
    <row r="231" spans="1:62">
      <c r="A231" s="1">
        <v>672090990</v>
      </c>
      <c r="B231">
        <v>39</v>
      </c>
      <c r="C231" t="s">
        <v>73</v>
      </c>
      <c r="D231" t="s">
        <v>74</v>
      </c>
      <c r="E231" t="s">
        <v>98</v>
      </c>
      <c r="F231" t="s">
        <v>75</v>
      </c>
      <c r="G231" t="s">
        <v>74</v>
      </c>
      <c r="H231" t="s">
        <v>371</v>
      </c>
      <c r="I231" t="s">
        <v>107</v>
      </c>
      <c r="J231" s="2">
        <v>373.01</v>
      </c>
      <c r="K231">
        <v>5</v>
      </c>
      <c r="L231" t="s">
        <v>78</v>
      </c>
      <c r="M231">
        <v>5</v>
      </c>
      <c r="N231">
        <v>5</v>
      </c>
      <c r="O231">
        <v>1</v>
      </c>
      <c r="P231" t="s">
        <v>84</v>
      </c>
      <c r="Q231" t="s">
        <v>67</v>
      </c>
      <c r="R231">
        <v>1</v>
      </c>
      <c r="S231">
        <v>4</v>
      </c>
      <c r="T231" t="s">
        <v>79</v>
      </c>
      <c r="U231" t="s">
        <v>90</v>
      </c>
      <c r="V231" t="s">
        <v>81</v>
      </c>
      <c r="W231" s="3">
        <v>45500</v>
      </c>
      <c r="X231" t="b">
        <v>0</v>
      </c>
      <c r="Y231" t="b">
        <v>1</v>
      </c>
      <c r="Z231" t="s">
        <v>92</v>
      </c>
      <c r="AA231" t="s">
        <v>97</v>
      </c>
      <c r="AB231">
        <v>8</v>
      </c>
      <c r="AO231" t="str">
        <f t="shared" si="15"/>
        <v>26-40</v>
      </c>
      <c r="BD231">
        <v>5</v>
      </c>
      <c r="BF231" cm="1">
        <f t="array" ref="BF231">CORREL(J231:J1231,S231:S1231)</f>
        <v>-0.0399700940004454</v>
      </c>
      <c r="BH231">
        <v>4</v>
      </c>
      <c r="BI231">
        <f t="shared" si="13"/>
        <v>1.25</v>
      </c>
      <c r="BJ231">
        <f t="shared" si="14"/>
        <v>3.2</v>
      </c>
    </row>
    <row r="232" spans="1:62">
      <c r="A232" s="1">
        <v>196670201</v>
      </c>
      <c r="B232">
        <v>41</v>
      </c>
      <c r="C232" t="s">
        <v>73</v>
      </c>
      <c r="D232" t="s">
        <v>60</v>
      </c>
      <c r="E232" t="s">
        <v>86</v>
      </c>
      <c r="F232" t="s">
        <v>87</v>
      </c>
      <c r="G232" t="s">
        <v>60</v>
      </c>
      <c r="H232" t="s">
        <v>372</v>
      </c>
      <c r="I232" t="s">
        <v>95</v>
      </c>
      <c r="J232" s="2">
        <v>220.77</v>
      </c>
      <c r="K232">
        <v>7</v>
      </c>
      <c r="L232" t="s">
        <v>85</v>
      </c>
      <c r="M232">
        <v>4</v>
      </c>
      <c r="N232">
        <v>2</v>
      </c>
      <c r="O232">
        <v>2</v>
      </c>
      <c r="P232" t="s">
        <v>84</v>
      </c>
      <c r="Q232" t="s">
        <v>80</v>
      </c>
      <c r="R232">
        <v>2</v>
      </c>
      <c r="S232">
        <v>1</v>
      </c>
      <c r="T232" t="s">
        <v>66</v>
      </c>
      <c r="U232" t="s">
        <v>90</v>
      </c>
      <c r="V232" t="s">
        <v>91</v>
      </c>
      <c r="W232" s="3">
        <v>45397</v>
      </c>
      <c r="X232" t="b">
        <v>1</v>
      </c>
      <c r="Y232" t="b">
        <v>1</v>
      </c>
      <c r="Z232" t="s">
        <v>70</v>
      </c>
      <c r="AA232" t="s">
        <v>83</v>
      </c>
      <c r="AB232">
        <v>11</v>
      </c>
      <c r="AO232" t="str">
        <f t="shared" si="15"/>
        <v>41-60</v>
      </c>
      <c r="BD232">
        <v>7</v>
      </c>
      <c r="BF232" cm="1">
        <f t="array" ref="BF232">CORREL(J232:J1232,S232:S1232)</f>
        <v>-0.039477061324936</v>
      </c>
      <c r="BH232">
        <v>1</v>
      </c>
      <c r="BI232">
        <f t="shared" si="13"/>
        <v>7</v>
      </c>
      <c r="BJ232">
        <f t="shared" si="14"/>
        <v>0.142857142857143</v>
      </c>
    </row>
    <row r="233" spans="1:62">
      <c r="A233" s="1">
        <v>362745269</v>
      </c>
      <c r="B233">
        <v>27</v>
      </c>
      <c r="C233" t="s">
        <v>73</v>
      </c>
      <c r="D233" t="s">
        <v>60</v>
      </c>
      <c r="E233" t="s">
        <v>61</v>
      </c>
      <c r="F233" t="s">
        <v>87</v>
      </c>
      <c r="G233" t="s">
        <v>74</v>
      </c>
      <c r="H233" t="s">
        <v>373</v>
      </c>
      <c r="I233" t="s">
        <v>124</v>
      </c>
      <c r="J233" s="2">
        <v>291.09</v>
      </c>
      <c r="K233">
        <v>11</v>
      </c>
      <c r="L233" t="s">
        <v>85</v>
      </c>
      <c r="M233">
        <v>2</v>
      </c>
      <c r="N233">
        <v>2</v>
      </c>
      <c r="O233">
        <v>2</v>
      </c>
      <c r="P233" t="s">
        <v>66</v>
      </c>
      <c r="Q233" t="s">
        <v>67</v>
      </c>
      <c r="R233">
        <v>0</v>
      </c>
      <c r="S233">
        <v>9</v>
      </c>
      <c r="T233" t="s">
        <v>74</v>
      </c>
      <c r="U233" t="s">
        <v>90</v>
      </c>
      <c r="V233" t="s">
        <v>81</v>
      </c>
      <c r="W233" s="3">
        <v>45571</v>
      </c>
      <c r="X233" t="b">
        <v>1</v>
      </c>
      <c r="Y233" t="b">
        <v>0</v>
      </c>
      <c r="Z233" t="s">
        <v>70</v>
      </c>
      <c r="AA233" t="s">
        <v>71</v>
      </c>
      <c r="AB233">
        <v>1</v>
      </c>
      <c r="AO233" t="str">
        <f t="shared" si="15"/>
        <v>26-40</v>
      </c>
      <c r="BD233">
        <v>11</v>
      </c>
      <c r="BF233" cm="1">
        <f t="array" ref="BF233">CORREL(J233:J1233,S233:S1233)</f>
        <v>-0.0404478228248845</v>
      </c>
      <c r="BH233">
        <v>9</v>
      </c>
      <c r="BI233">
        <f t="shared" si="13"/>
        <v>1.22222222222222</v>
      </c>
      <c r="BJ233">
        <f t="shared" si="14"/>
        <v>7.36363636363636</v>
      </c>
    </row>
    <row r="234" spans="1:62">
      <c r="A234" s="4" t="s">
        <v>374</v>
      </c>
      <c r="B234">
        <v>23</v>
      </c>
      <c r="C234" t="s">
        <v>224</v>
      </c>
      <c r="D234" t="s">
        <v>74</v>
      </c>
      <c r="E234" t="s">
        <v>61</v>
      </c>
      <c r="F234" t="s">
        <v>62</v>
      </c>
      <c r="G234" t="s">
        <v>60</v>
      </c>
      <c r="H234" t="s">
        <v>375</v>
      </c>
      <c r="I234" t="s">
        <v>133</v>
      </c>
      <c r="J234" s="2">
        <v>414.06</v>
      </c>
      <c r="K234">
        <v>9</v>
      </c>
      <c r="L234" t="s">
        <v>65</v>
      </c>
      <c r="M234">
        <v>1</v>
      </c>
      <c r="N234">
        <v>4</v>
      </c>
      <c r="O234">
        <v>2</v>
      </c>
      <c r="P234" t="s">
        <v>79</v>
      </c>
      <c r="Q234" t="s">
        <v>67</v>
      </c>
      <c r="R234">
        <v>2</v>
      </c>
      <c r="S234">
        <v>4</v>
      </c>
      <c r="T234" t="s">
        <v>74</v>
      </c>
      <c r="U234" t="s">
        <v>105</v>
      </c>
      <c r="V234" t="s">
        <v>81</v>
      </c>
      <c r="W234" s="3">
        <v>45622</v>
      </c>
      <c r="X234" t="b">
        <v>1</v>
      </c>
      <c r="Y234" t="b">
        <v>0</v>
      </c>
      <c r="Z234" t="s">
        <v>102</v>
      </c>
      <c r="AA234" t="s">
        <v>97</v>
      </c>
      <c r="AB234">
        <v>2</v>
      </c>
      <c r="AO234" t="str">
        <f t="shared" si="15"/>
        <v>18-25</v>
      </c>
      <c r="BD234">
        <v>9</v>
      </c>
      <c r="BF234" cm="1">
        <f t="array" ref="BF234">CORREL(J234:J1234,S234:S1234)</f>
        <v>-0.0406464206597965</v>
      </c>
      <c r="BH234">
        <v>4</v>
      </c>
      <c r="BI234">
        <f t="shared" si="13"/>
        <v>2.25</v>
      </c>
      <c r="BJ234">
        <f t="shared" si="14"/>
        <v>1.77777777777778</v>
      </c>
    </row>
    <row r="235" spans="1:62">
      <c r="A235" s="1">
        <v>198739468</v>
      </c>
      <c r="B235">
        <v>37</v>
      </c>
      <c r="C235" t="s">
        <v>73</v>
      </c>
      <c r="D235" t="s">
        <v>60</v>
      </c>
      <c r="E235" t="s">
        <v>98</v>
      </c>
      <c r="F235" t="s">
        <v>62</v>
      </c>
      <c r="G235" t="s">
        <v>60</v>
      </c>
      <c r="H235" t="s">
        <v>376</v>
      </c>
      <c r="I235" t="s">
        <v>120</v>
      </c>
      <c r="J235" s="2">
        <v>408.51</v>
      </c>
      <c r="K235">
        <v>9</v>
      </c>
      <c r="L235" t="s">
        <v>85</v>
      </c>
      <c r="M235">
        <v>2</v>
      </c>
      <c r="N235">
        <v>1</v>
      </c>
      <c r="O235">
        <v>2</v>
      </c>
      <c r="P235" t="s">
        <v>74</v>
      </c>
      <c r="Q235" t="s">
        <v>109</v>
      </c>
      <c r="R235">
        <v>0</v>
      </c>
      <c r="S235">
        <v>7</v>
      </c>
      <c r="T235" t="s">
        <v>79</v>
      </c>
      <c r="U235" t="s">
        <v>90</v>
      </c>
      <c r="V235" t="s">
        <v>69</v>
      </c>
      <c r="W235" s="3">
        <v>45438</v>
      </c>
      <c r="X235" t="b">
        <v>1</v>
      </c>
      <c r="Y235" t="b">
        <v>0</v>
      </c>
      <c r="Z235" t="s">
        <v>82</v>
      </c>
      <c r="AA235" t="s">
        <v>97</v>
      </c>
      <c r="AB235">
        <v>1</v>
      </c>
      <c r="AO235" t="str">
        <f t="shared" si="15"/>
        <v>26-40</v>
      </c>
      <c r="BD235">
        <v>9</v>
      </c>
      <c r="BF235" cm="1">
        <f t="array" ref="BF235">CORREL(J235:J1235,S235:S1235)</f>
        <v>-0.0399420467010703</v>
      </c>
      <c r="BH235">
        <v>7</v>
      </c>
      <c r="BI235">
        <f t="shared" si="13"/>
        <v>1.28571428571429</v>
      </c>
      <c r="BJ235">
        <f t="shared" si="14"/>
        <v>5.44444444444444</v>
      </c>
    </row>
    <row r="236" spans="1:62">
      <c r="A236" s="1">
        <v>377484988</v>
      </c>
      <c r="B236">
        <v>21</v>
      </c>
      <c r="C236" t="s">
        <v>73</v>
      </c>
      <c r="D236" t="s">
        <v>60</v>
      </c>
      <c r="E236" t="s">
        <v>61</v>
      </c>
      <c r="F236" t="s">
        <v>75</v>
      </c>
      <c r="G236" t="s">
        <v>74</v>
      </c>
      <c r="H236" t="s">
        <v>377</v>
      </c>
      <c r="I236" t="s">
        <v>100</v>
      </c>
      <c r="J236" s="2">
        <v>103.4</v>
      </c>
      <c r="K236">
        <v>9</v>
      </c>
      <c r="L236" t="s">
        <v>78</v>
      </c>
      <c r="M236">
        <v>4</v>
      </c>
      <c r="N236">
        <v>1</v>
      </c>
      <c r="O236">
        <v>2</v>
      </c>
      <c r="P236" t="s">
        <v>74</v>
      </c>
      <c r="Q236" t="s">
        <v>80</v>
      </c>
      <c r="R236">
        <v>1</v>
      </c>
      <c r="S236">
        <v>9</v>
      </c>
      <c r="T236" t="s">
        <v>79</v>
      </c>
      <c r="U236" t="s">
        <v>90</v>
      </c>
      <c r="V236" t="s">
        <v>91</v>
      </c>
      <c r="W236" s="3">
        <v>45600</v>
      </c>
      <c r="X236" t="b">
        <v>1</v>
      </c>
      <c r="Y236" t="b">
        <v>0</v>
      </c>
      <c r="Z236" t="s">
        <v>102</v>
      </c>
      <c r="AA236" t="s">
        <v>83</v>
      </c>
      <c r="AB236">
        <v>9</v>
      </c>
      <c r="AO236" t="str">
        <f t="shared" si="15"/>
        <v>18-25</v>
      </c>
      <c r="BD236">
        <v>9</v>
      </c>
      <c r="BF236" cm="1">
        <f t="array" ref="BF236">CORREL(J236:J1236,S236:S1236)</f>
        <v>-0.0406298837156304</v>
      </c>
      <c r="BH236">
        <v>9</v>
      </c>
      <c r="BI236">
        <f t="shared" si="13"/>
        <v>1</v>
      </c>
      <c r="BJ236">
        <f t="shared" si="14"/>
        <v>9</v>
      </c>
    </row>
    <row r="237" spans="1:62">
      <c r="A237" s="4" t="s">
        <v>378</v>
      </c>
      <c r="B237">
        <v>47</v>
      </c>
      <c r="C237" t="s">
        <v>73</v>
      </c>
      <c r="D237" t="s">
        <v>60</v>
      </c>
      <c r="E237" t="s">
        <v>86</v>
      </c>
      <c r="F237" t="s">
        <v>75</v>
      </c>
      <c r="G237" t="s">
        <v>74</v>
      </c>
      <c r="H237" t="s">
        <v>379</v>
      </c>
      <c r="I237" t="s">
        <v>100</v>
      </c>
      <c r="J237" s="2">
        <v>67.92</v>
      </c>
      <c r="K237">
        <v>3</v>
      </c>
      <c r="L237" t="s">
        <v>78</v>
      </c>
      <c r="M237">
        <v>1</v>
      </c>
      <c r="N237">
        <v>3</v>
      </c>
      <c r="O237">
        <v>0</v>
      </c>
      <c r="P237" t="s">
        <v>84</v>
      </c>
      <c r="Q237" t="s">
        <v>80</v>
      </c>
      <c r="R237">
        <v>1</v>
      </c>
      <c r="S237">
        <v>8</v>
      </c>
      <c r="T237" t="s">
        <v>84</v>
      </c>
      <c r="U237" t="s">
        <v>68</v>
      </c>
      <c r="V237" t="s">
        <v>110</v>
      </c>
      <c r="W237" s="3">
        <v>45583</v>
      </c>
      <c r="X237" t="b">
        <v>0</v>
      </c>
      <c r="Y237" t="b">
        <v>1</v>
      </c>
      <c r="Z237" t="s">
        <v>92</v>
      </c>
      <c r="AA237" t="s">
        <v>97</v>
      </c>
      <c r="AB237">
        <v>10</v>
      </c>
      <c r="AO237" t="str">
        <f t="shared" si="15"/>
        <v>41-60</v>
      </c>
      <c r="BD237">
        <v>3</v>
      </c>
      <c r="BF237" cm="1">
        <f t="array" ref="BF237">CORREL(J237:J1237,S237:S1237)</f>
        <v>-0.0386283160765655</v>
      </c>
      <c r="BH237">
        <v>8</v>
      </c>
      <c r="BI237">
        <f t="shared" si="13"/>
        <v>0.375</v>
      </c>
      <c r="BJ237">
        <f t="shared" si="14"/>
        <v>21.3333333333333</v>
      </c>
    </row>
    <row r="238" spans="1:62">
      <c r="A238" s="4" t="s">
        <v>380</v>
      </c>
      <c r="B238">
        <v>42</v>
      </c>
      <c r="C238" t="s">
        <v>224</v>
      </c>
      <c r="D238" t="s">
        <v>60</v>
      </c>
      <c r="E238" t="s">
        <v>86</v>
      </c>
      <c r="F238" t="s">
        <v>75</v>
      </c>
      <c r="G238" t="s">
        <v>60</v>
      </c>
      <c r="H238" t="s">
        <v>381</v>
      </c>
      <c r="I238" t="s">
        <v>147</v>
      </c>
      <c r="J238" s="2">
        <v>354.16</v>
      </c>
      <c r="K238">
        <v>8</v>
      </c>
      <c r="L238" t="s">
        <v>78</v>
      </c>
      <c r="M238">
        <v>1</v>
      </c>
      <c r="N238">
        <v>1</v>
      </c>
      <c r="O238">
        <v>1</v>
      </c>
      <c r="P238" t="s">
        <v>84</v>
      </c>
      <c r="Q238" t="s">
        <v>80</v>
      </c>
      <c r="R238">
        <v>2</v>
      </c>
      <c r="S238">
        <v>3</v>
      </c>
      <c r="T238" t="s">
        <v>84</v>
      </c>
      <c r="U238" t="s">
        <v>105</v>
      </c>
      <c r="V238" t="s">
        <v>69</v>
      </c>
      <c r="W238" s="3">
        <v>45456</v>
      </c>
      <c r="X238" t="b">
        <v>1</v>
      </c>
      <c r="Y238" t="b">
        <v>0</v>
      </c>
      <c r="Z238" t="s">
        <v>102</v>
      </c>
      <c r="AA238" t="s">
        <v>97</v>
      </c>
      <c r="AB238">
        <v>5</v>
      </c>
      <c r="AO238" t="str">
        <f t="shared" si="15"/>
        <v>41-60</v>
      </c>
      <c r="BD238">
        <v>8</v>
      </c>
      <c r="BF238" cm="1">
        <f t="array" ref="BF238">CORREL(J238:J1238,S238:S1238)</f>
        <v>-0.0369203564854915</v>
      </c>
      <c r="BH238">
        <v>3</v>
      </c>
      <c r="BI238">
        <f t="shared" si="13"/>
        <v>2.66666666666667</v>
      </c>
      <c r="BJ238">
        <f t="shared" si="14"/>
        <v>1.125</v>
      </c>
    </row>
    <row r="239" spans="1:62">
      <c r="A239" s="1">
        <v>600733575</v>
      </c>
      <c r="B239">
        <v>30</v>
      </c>
      <c r="C239" t="s">
        <v>73</v>
      </c>
      <c r="D239" t="s">
        <v>60</v>
      </c>
      <c r="E239" t="s">
        <v>98</v>
      </c>
      <c r="F239" t="s">
        <v>62</v>
      </c>
      <c r="G239" t="s">
        <v>60</v>
      </c>
      <c r="H239" t="s">
        <v>382</v>
      </c>
      <c r="I239" t="s">
        <v>107</v>
      </c>
      <c r="J239" s="2">
        <v>276.77</v>
      </c>
      <c r="K239">
        <v>2</v>
      </c>
      <c r="L239" t="s">
        <v>65</v>
      </c>
      <c r="M239">
        <v>1</v>
      </c>
      <c r="N239">
        <v>1</v>
      </c>
      <c r="O239">
        <v>2</v>
      </c>
      <c r="P239" t="s">
        <v>84</v>
      </c>
      <c r="Q239" t="s">
        <v>109</v>
      </c>
      <c r="R239">
        <v>1</v>
      </c>
      <c r="S239">
        <v>2</v>
      </c>
      <c r="T239" t="s">
        <v>74</v>
      </c>
      <c r="U239" t="s">
        <v>90</v>
      </c>
      <c r="V239" t="s">
        <v>110</v>
      </c>
      <c r="W239" s="3">
        <v>45354</v>
      </c>
      <c r="X239" t="b">
        <v>1</v>
      </c>
      <c r="Y239" t="b">
        <v>1</v>
      </c>
      <c r="Z239" t="s">
        <v>82</v>
      </c>
      <c r="AA239" t="s">
        <v>71</v>
      </c>
      <c r="AB239">
        <v>4</v>
      </c>
      <c r="AO239" t="str">
        <f t="shared" si="15"/>
        <v>26-40</v>
      </c>
      <c r="BD239">
        <v>2</v>
      </c>
      <c r="BF239" cm="1">
        <f t="array" ref="BF239">CORREL(J239:J1239,S239:S1239)</f>
        <v>-0.036265864900521</v>
      </c>
      <c r="BH239">
        <v>2</v>
      </c>
      <c r="BI239">
        <f t="shared" si="13"/>
        <v>1</v>
      </c>
      <c r="BJ239">
        <f t="shared" si="14"/>
        <v>2</v>
      </c>
    </row>
    <row r="240" spans="1:62">
      <c r="A240" s="1">
        <v>972373483</v>
      </c>
      <c r="B240">
        <v>49</v>
      </c>
      <c r="C240" t="s">
        <v>73</v>
      </c>
      <c r="D240" t="s">
        <v>60</v>
      </c>
      <c r="E240" t="s">
        <v>86</v>
      </c>
      <c r="F240" t="s">
        <v>75</v>
      </c>
      <c r="G240" t="s">
        <v>60</v>
      </c>
      <c r="H240" t="s">
        <v>383</v>
      </c>
      <c r="I240" t="s">
        <v>122</v>
      </c>
      <c r="J240" s="2">
        <v>190.25</v>
      </c>
      <c r="K240">
        <v>6</v>
      </c>
      <c r="L240" t="s">
        <v>65</v>
      </c>
      <c r="M240">
        <v>4</v>
      </c>
      <c r="N240">
        <v>2</v>
      </c>
      <c r="O240">
        <v>2</v>
      </c>
      <c r="P240" t="s">
        <v>66</v>
      </c>
      <c r="Q240" t="s">
        <v>109</v>
      </c>
      <c r="R240">
        <v>2</v>
      </c>
      <c r="S240">
        <v>9</v>
      </c>
      <c r="T240" t="s">
        <v>66</v>
      </c>
      <c r="U240" t="s">
        <v>68</v>
      </c>
      <c r="V240" t="s">
        <v>81</v>
      </c>
      <c r="W240" s="3">
        <v>45446</v>
      </c>
      <c r="X240" t="b">
        <v>0</v>
      </c>
      <c r="Y240" t="b">
        <v>0</v>
      </c>
      <c r="Z240" t="s">
        <v>102</v>
      </c>
      <c r="AA240" t="s">
        <v>97</v>
      </c>
      <c r="AB240">
        <v>13</v>
      </c>
      <c r="AO240" t="str">
        <f t="shared" si="15"/>
        <v>41-60</v>
      </c>
      <c r="BD240">
        <v>6</v>
      </c>
      <c r="BF240" cm="1">
        <f t="array" ref="BF240">CORREL(J240:J1240,S240:S1240)</f>
        <v>-0.0363149325917933</v>
      </c>
      <c r="BH240">
        <v>9</v>
      </c>
      <c r="BI240">
        <f t="shared" si="13"/>
        <v>0.666666666666667</v>
      </c>
      <c r="BJ240">
        <f t="shared" si="14"/>
        <v>13.5</v>
      </c>
    </row>
    <row r="241" spans="1:62">
      <c r="A241" s="1">
        <v>936751619</v>
      </c>
      <c r="B241">
        <v>28</v>
      </c>
      <c r="C241" t="s">
        <v>59</v>
      </c>
      <c r="D241" t="s">
        <v>60</v>
      </c>
      <c r="E241" t="s">
        <v>61</v>
      </c>
      <c r="F241" t="s">
        <v>87</v>
      </c>
      <c r="G241" t="s">
        <v>60</v>
      </c>
      <c r="H241" t="s">
        <v>384</v>
      </c>
      <c r="I241" t="s">
        <v>120</v>
      </c>
      <c r="J241" s="2">
        <v>203.49</v>
      </c>
      <c r="K241">
        <v>7</v>
      </c>
      <c r="L241" t="s">
        <v>78</v>
      </c>
      <c r="M241">
        <v>4</v>
      </c>
      <c r="N241">
        <v>1</v>
      </c>
      <c r="O241">
        <v>2</v>
      </c>
      <c r="P241" t="s">
        <v>79</v>
      </c>
      <c r="Q241" t="s">
        <v>80</v>
      </c>
      <c r="R241">
        <v>1</v>
      </c>
      <c r="S241">
        <v>8</v>
      </c>
      <c r="T241" t="s">
        <v>74</v>
      </c>
      <c r="U241" t="s">
        <v>68</v>
      </c>
      <c r="V241" t="s">
        <v>110</v>
      </c>
      <c r="W241" s="3">
        <v>45514</v>
      </c>
      <c r="X241" t="b">
        <v>0</v>
      </c>
      <c r="Y241" t="b">
        <v>1</v>
      </c>
      <c r="Z241" t="s">
        <v>70</v>
      </c>
      <c r="AA241" t="s">
        <v>97</v>
      </c>
      <c r="AB241">
        <v>11</v>
      </c>
      <c r="AO241" t="str">
        <f t="shared" si="15"/>
        <v>26-40</v>
      </c>
      <c r="BD241">
        <v>7</v>
      </c>
      <c r="BF241" cm="1">
        <f t="array" ref="BF241">CORREL(J241:J1241,S241:S1241)</f>
        <v>-0.0353054364692535</v>
      </c>
      <c r="BH241">
        <v>8</v>
      </c>
      <c r="BI241">
        <f t="shared" si="13"/>
        <v>0.875</v>
      </c>
      <c r="BJ241">
        <f t="shared" si="14"/>
        <v>9.14285714285714</v>
      </c>
    </row>
    <row r="242" spans="1:62">
      <c r="A242" s="1">
        <v>438842577</v>
      </c>
      <c r="B242">
        <v>24</v>
      </c>
      <c r="C242" t="s">
        <v>73</v>
      </c>
      <c r="D242" t="s">
        <v>60</v>
      </c>
      <c r="E242" t="s">
        <v>86</v>
      </c>
      <c r="F242" t="s">
        <v>75</v>
      </c>
      <c r="G242" t="s">
        <v>74</v>
      </c>
      <c r="H242" t="s">
        <v>385</v>
      </c>
      <c r="I242" t="s">
        <v>147</v>
      </c>
      <c r="J242" s="2">
        <v>263.5</v>
      </c>
      <c r="K242">
        <v>6</v>
      </c>
      <c r="L242" t="s">
        <v>65</v>
      </c>
      <c r="M242">
        <v>3</v>
      </c>
      <c r="N242">
        <v>2</v>
      </c>
      <c r="O242">
        <v>2</v>
      </c>
      <c r="P242" t="s">
        <v>66</v>
      </c>
      <c r="Q242" t="s">
        <v>80</v>
      </c>
      <c r="R242">
        <v>0</v>
      </c>
      <c r="S242">
        <v>8</v>
      </c>
      <c r="T242" t="s">
        <v>84</v>
      </c>
      <c r="U242" t="s">
        <v>68</v>
      </c>
      <c r="V242" t="s">
        <v>91</v>
      </c>
      <c r="W242" s="3">
        <v>45614</v>
      </c>
      <c r="X242" t="b">
        <v>0</v>
      </c>
      <c r="Y242" t="b">
        <v>0</v>
      </c>
      <c r="Z242" t="s">
        <v>102</v>
      </c>
      <c r="AA242" t="s">
        <v>83</v>
      </c>
      <c r="AB242">
        <v>1</v>
      </c>
      <c r="AO242" t="str">
        <f t="shared" si="15"/>
        <v>18-25</v>
      </c>
      <c r="BD242">
        <v>6</v>
      </c>
      <c r="BF242" cm="1">
        <f t="array" ref="BF242">CORREL(J242:J1242,S242:S1242)</f>
        <v>-0.0346925009338773</v>
      </c>
      <c r="BH242">
        <v>8</v>
      </c>
      <c r="BI242">
        <f t="shared" si="13"/>
        <v>0.75</v>
      </c>
      <c r="BJ242">
        <f t="shared" si="14"/>
        <v>10.6666666666667</v>
      </c>
    </row>
    <row r="243" spans="1:62">
      <c r="A243" s="1">
        <v>332007615</v>
      </c>
      <c r="B243">
        <v>40</v>
      </c>
      <c r="C243" t="s">
        <v>59</v>
      </c>
      <c r="D243" t="s">
        <v>74</v>
      </c>
      <c r="E243" t="s">
        <v>103</v>
      </c>
      <c r="F243" t="s">
        <v>62</v>
      </c>
      <c r="G243" t="s">
        <v>60</v>
      </c>
      <c r="H243" t="s">
        <v>386</v>
      </c>
      <c r="I243" t="s">
        <v>143</v>
      </c>
      <c r="J243" s="2">
        <v>247.3</v>
      </c>
      <c r="K243">
        <v>2</v>
      </c>
      <c r="L243" t="s">
        <v>78</v>
      </c>
      <c r="M243">
        <v>4</v>
      </c>
      <c r="N243">
        <v>4</v>
      </c>
      <c r="O243">
        <v>2</v>
      </c>
      <c r="P243" t="s">
        <v>84</v>
      </c>
      <c r="Q243" t="s">
        <v>109</v>
      </c>
      <c r="R243">
        <v>0</v>
      </c>
      <c r="S243">
        <v>1</v>
      </c>
      <c r="T243" t="s">
        <v>79</v>
      </c>
      <c r="U243" t="s">
        <v>105</v>
      </c>
      <c r="V243" t="s">
        <v>69</v>
      </c>
      <c r="W243" s="3">
        <v>45330</v>
      </c>
      <c r="X243" t="b">
        <v>1</v>
      </c>
      <c r="Y243" t="b">
        <v>1</v>
      </c>
      <c r="Z243" t="s">
        <v>82</v>
      </c>
      <c r="AA243" t="s">
        <v>71</v>
      </c>
      <c r="AB243">
        <v>11</v>
      </c>
      <c r="AO243" t="str">
        <f t="shared" si="15"/>
        <v>26-40</v>
      </c>
      <c r="BD243">
        <v>2</v>
      </c>
      <c r="BF243" cm="1">
        <f t="array" ref="BF243">CORREL(J243:J1243,S243:S1243)</f>
        <v>-0.0345856291085954</v>
      </c>
      <c r="BH243">
        <v>1</v>
      </c>
      <c r="BI243">
        <f t="shared" si="13"/>
        <v>2</v>
      </c>
      <c r="BJ243">
        <f t="shared" si="14"/>
        <v>0.5</v>
      </c>
    </row>
    <row r="244" spans="1:62">
      <c r="A244" s="1">
        <v>636318261</v>
      </c>
      <c r="B244">
        <v>18</v>
      </c>
      <c r="C244" t="s">
        <v>73</v>
      </c>
      <c r="D244" t="s">
        <v>74</v>
      </c>
      <c r="E244" t="s">
        <v>61</v>
      </c>
      <c r="F244" t="s">
        <v>62</v>
      </c>
      <c r="G244" t="s">
        <v>60</v>
      </c>
      <c r="H244" t="s">
        <v>387</v>
      </c>
      <c r="I244" t="s">
        <v>137</v>
      </c>
      <c r="J244" s="2">
        <v>50.71</v>
      </c>
      <c r="K244">
        <v>12</v>
      </c>
      <c r="L244" t="s">
        <v>85</v>
      </c>
      <c r="M244">
        <v>4</v>
      </c>
      <c r="N244">
        <v>3</v>
      </c>
      <c r="O244">
        <v>0.3</v>
      </c>
      <c r="P244" t="s">
        <v>66</v>
      </c>
      <c r="Q244" t="s">
        <v>80</v>
      </c>
      <c r="R244">
        <v>0</v>
      </c>
      <c r="S244">
        <v>9</v>
      </c>
      <c r="T244" t="s">
        <v>79</v>
      </c>
      <c r="U244" t="s">
        <v>90</v>
      </c>
      <c r="V244" t="s">
        <v>91</v>
      </c>
      <c r="W244" s="3">
        <v>45368</v>
      </c>
      <c r="X244" t="b">
        <v>1</v>
      </c>
      <c r="Y244" t="b">
        <v>1</v>
      </c>
      <c r="Z244" t="s">
        <v>82</v>
      </c>
      <c r="AA244" t="s">
        <v>71</v>
      </c>
      <c r="AB244">
        <v>8</v>
      </c>
      <c r="AO244" t="str">
        <f t="shared" si="15"/>
        <v>18-25</v>
      </c>
      <c r="BD244">
        <v>12</v>
      </c>
      <c r="BF244" cm="1">
        <f t="array" ref="BF244">CORREL(J244:J1244,S244:S1244)</f>
        <v>-0.0351360139678842</v>
      </c>
      <c r="BH244">
        <v>9</v>
      </c>
      <c r="BI244">
        <f t="shared" si="13"/>
        <v>1.33333333333333</v>
      </c>
      <c r="BJ244">
        <f t="shared" si="14"/>
        <v>6.75</v>
      </c>
    </row>
    <row r="245" spans="1:62">
      <c r="A245" s="1">
        <v>340167909</v>
      </c>
      <c r="B245">
        <v>42</v>
      </c>
      <c r="C245" t="s">
        <v>73</v>
      </c>
      <c r="D245" t="s">
        <v>74</v>
      </c>
      <c r="E245" t="s">
        <v>61</v>
      </c>
      <c r="F245" t="s">
        <v>75</v>
      </c>
      <c r="G245" t="s">
        <v>60</v>
      </c>
      <c r="H245" t="s">
        <v>388</v>
      </c>
      <c r="I245" t="s">
        <v>89</v>
      </c>
      <c r="J245" s="2">
        <v>131.85</v>
      </c>
      <c r="K245">
        <v>4</v>
      </c>
      <c r="L245" t="s">
        <v>65</v>
      </c>
      <c r="M245">
        <v>5</v>
      </c>
      <c r="N245">
        <v>4</v>
      </c>
      <c r="O245">
        <v>2</v>
      </c>
      <c r="P245" t="s">
        <v>84</v>
      </c>
      <c r="Q245" t="s">
        <v>67</v>
      </c>
      <c r="R245">
        <v>1</v>
      </c>
      <c r="S245">
        <v>5</v>
      </c>
      <c r="T245" t="s">
        <v>79</v>
      </c>
      <c r="U245" t="s">
        <v>90</v>
      </c>
      <c r="V245" t="s">
        <v>91</v>
      </c>
      <c r="W245" s="3">
        <v>45295</v>
      </c>
      <c r="X245" t="b">
        <v>1</v>
      </c>
      <c r="Y245" t="b">
        <v>0</v>
      </c>
      <c r="Z245" t="s">
        <v>70</v>
      </c>
      <c r="AA245" t="s">
        <v>71</v>
      </c>
      <c r="AB245">
        <v>6</v>
      </c>
      <c r="AO245" t="str">
        <f t="shared" si="15"/>
        <v>41-60</v>
      </c>
      <c r="BD245">
        <v>4</v>
      </c>
      <c r="BF245" cm="1">
        <f t="array" ref="BF245">CORREL(J245:J1245,S245:S1245)</f>
        <v>-0.0324782564378649</v>
      </c>
      <c r="BH245">
        <v>5</v>
      </c>
      <c r="BI245">
        <f t="shared" si="13"/>
        <v>0.8</v>
      </c>
      <c r="BJ245">
        <f t="shared" si="14"/>
        <v>6.25</v>
      </c>
    </row>
    <row r="246" spans="1:62">
      <c r="A246" s="1">
        <v>823046495</v>
      </c>
      <c r="B246">
        <v>19</v>
      </c>
      <c r="C246" t="s">
        <v>73</v>
      </c>
      <c r="D246" t="s">
        <v>74</v>
      </c>
      <c r="E246" t="s">
        <v>61</v>
      </c>
      <c r="F246" t="s">
        <v>87</v>
      </c>
      <c r="G246" t="s">
        <v>74</v>
      </c>
      <c r="H246" t="s">
        <v>389</v>
      </c>
      <c r="I246" t="s">
        <v>174</v>
      </c>
      <c r="J246" s="2">
        <v>459.39</v>
      </c>
      <c r="K246">
        <v>6</v>
      </c>
      <c r="L246" t="s">
        <v>65</v>
      </c>
      <c r="M246">
        <v>2</v>
      </c>
      <c r="N246">
        <v>2</v>
      </c>
      <c r="O246">
        <v>0.3</v>
      </c>
      <c r="P246" t="s">
        <v>84</v>
      </c>
      <c r="Q246" t="s">
        <v>109</v>
      </c>
      <c r="R246">
        <v>2</v>
      </c>
      <c r="S246">
        <v>4</v>
      </c>
      <c r="T246" t="s">
        <v>74</v>
      </c>
      <c r="U246" t="s">
        <v>68</v>
      </c>
      <c r="V246" t="s">
        <v>69</v>
      </c>
      <c r="W246" s="3">
        <v>45564</v>
      </c>
      <c r="X246" t="b">
        <v>0</v>
      </c>
      <c r="Y246" t="b">
        <v>0</v>
      </c>
      <c r="Z246" t="s">
        <v>102</v>
      </c>
      <c r="AA246" t="s">
        <v>71</v>
      </c>
      <c r="AB246">
        <v>14</v>
      </c>
      <c r="AO246" t="str">
        <f t="shared" si="15"/>
        <v>18-25</v>
      </c>
      <c r="BD246">
        <v>6</v>
      </c>
      <c r="BF246" cm="1">
        <f t="array" ref="BF246">CORREL(J246:J1246,S246:S1246)</f>
        <v>-0.032791120788857</v>
      </c>
      <c r="BH246">
        <v>4</v>
      </c>
      <c r="BI246">
        <f t="shared" si="13"/>
        <v>1.5</v>
      </c>
      <c r="BJ246">
        <f t="shared" si="14"/>
        <v>2.66666666666667</v>
      </c>
    </row>
    <row r="247" spans="1:62">
      <c r="A247" s="1">
        <v>702076999</v>
      </c>
      <c r="B247">
        <v>36</v>
      </c>
      <c r="C247" t="s">
        <v>59</v>
      </c>
      <c r="D247" t="s">
        <v>74</v>
      </c>
      <c r="E247" t="s">
        <v>103</v>
      </c>
      <c r="F247" t="s">
        <v>75</v>
      </c>
      <c r="G247" t="s">
        <v>60</v>
      </c>
      <c r="H247" t="s">
        <v>390</v>
      </c>
      <c r="I247" t="s">
        <v>89</v>
      </c>
      <c r="J247" s="2">
        <v>383.33</v>
      </c>
      <c r="K247">
        <v>6</v>
      </c>
      <c r="L247" t="s">
        <v>85</v>
      </c>
      <c r="M247">
        <v>3</v>
      </c>
      <c r="N247">
        <v>4</v>
      </c>
      <c r="O247">
        <v>2</v>
      </c>
      <c r="P247" t="s">
        <v>79</v>
      </c>
      <c r="Q247" t="s">
        <v>109</v>
      </c>
      <c r="R247">
        <v>1</v>
      </c>
      <c r="S247">
        <v>3</v>
      </c>
      <c r="T247" t="s">
        <v>66</v>
      </c>
      <c r="U247" t="s">
        <v>90</v>
      </c>
      <c r="V247" t="s">
        <v>69</v>
      </c>
      <c r="W247" s="3">
        <v>45509</v>
      </c>
      <c r="X247" t="b">
        <v>0</v>
      </c>
      <c r="Y247" t="b">
        <v>0</v>
      </c>
      <c r="Z247" t="s">
        <v>102</v>
      </c>
      <c r="AA247" t="s">
        <v>83</v>
      </c>
      <c r="AB247">
        <v>12</v>
      </c>
      <c r="AO247" t="str">
        <f t="shared" si="15"/>
        <v>26-40</v>
      </c>
      <c r="BD247">
        <v>6</v>
      </c>
      <c r="BF247" cm="1">
        <f t="array" ref="BF247">CORREL(J247:J1247,S247:S1247)</f>
        <v>-0.0318453016063612</v>
      </c>
      <c r="BH247">
        <v>3</v>
      </c>
      <c r="BI247">
        <f t="shared" si="13"/>
        <v>2</v>
      </c>
      <c r="BJ247">
        <f t="shared" si="14"/>
        <v>1.5</v>
      </c>
    </row>
    <row r="248" spans="1:62">
      <c r="A248" s="1">
        <v>717808195</v>
      </c>
      <c r="B248">
        <v>26</v>
      </c>
      <c r="C248" t="s">
        <v>59</v>
      </c>
      <c r="D248" t="s">
        <v>74</v>
      </c>
      <c r="E248" t="s">
        <v>98</v>
      </c>
      <c r="F248" t="s">
        <v>62</v>
      </c>
      <c r="G248" t="s">
        <v>74</v>
      </c>
      <c r="H248" t="s">
        <v>391</v>
      </c>
      <c r="I248" t="s">
        <v>137</v>
      </c>
      <c r="J248" s="2">
        <v>212.08</v>
      </c>
      <c r="K248">
        <v>8</v>
      </c>
      <c r="L248" t="s">
        <v>78</v>
      </c>
      <c r="M248">
        <v>5</v>
      </c>
      <c r="N248">
        <v>5</v>
      </c>
      <c r="O248">
        <v>2</v>
      </c>
      <c r="P248" t="s">
        <v>84</v>
      </c>
      <c r="Q248" t="s">
        <v>109</v>
      </c>
      <c r="R248">
        <v>1</v>
      </c>
      <c r="S248">
        <v>9</v>
      </c>
      <c r="T248" t="s">
        <v>66</v>
      </c>
      <c r="U248" t="s">
        <v>68</v>
      </c>
      <c r="V248" t="s">
        <v>69</v>
      </c>
      <c r="W248" s="3">
        <v>45419</v>
      </c>
      <c r="X248" t="b">
        <v>0</v>
      </c>
      <c r="Y248" t="b">
        <v>0</v>
      </c>
      <c r="Z248" t="s">
        <v>70</v>
      </c>
      <c r="AA248" t="s">
        <v>83</v>
      </c>
      <c r="AB248">
        <v>13</v>
      </c>
      <c r="AO248" t="str">
        <f t="shared" si="15"/>
        <v>26-40</v>
      </c>
      <c r="BD248">
        <v>8</v>
      </c>
      <c r="BF248" cm="1">
        <f t="array" ref="BF248">CORREL(J248:J1248,S248:S1248)</f>
        <v>-0.0309256122725637</v>
      </c>
      <c r="BH248">
        <v>9</v>
      </c>
      <c r="BI248">
        <f t="shared" si="13"/>
        <v>0.888888888888889</v>
      </c>
      <c r="BJ248">
        <f t="shared" si="14"/>
        <v>10.125</v>
      </c>
    </row>
    <row r="249" spans="1:62">
      <c r="A249" s="1">
        <v>933568589</v>
      </c>
      <c r="B249">
        <v>35</v>
      </c>
      <c r="C249" t="s">
        <v>59</v>
      </c>
      <c r="D249" t="s">
        <v>74</v>
      </c>
      <c r="E249" t="s">
        <v>61</v>
      </c>
      <c r="F249" t="s">
        <v>87</v>
      </c>
      <c r="G249" t="s">
        <v>74</v>
      </c>
      <c r="H249" t="s">
        <v>392</v>
      </c>
      <c r="I249" t="s">
        <v>143</v>
      </c>
      <c r="J249" s="2">
        <v>370.73</v>
      </c>
      <c r="K249">
        <v>7</v>
      </c>
      <c r="L249" t="s">
        <v>85</v>
      </c>
      <c r="M249">
        <v>3</v>
      </c>
      <c r="N249">
        <v>2</v>
      </c>
      <c r="O249">
        <v>1</v>
      </c>
      <c r="P249" t="s">
        <v>74</v>
      </c>
      <c r="Q249" t="s">
        <v>80</v>
      </c>
      <c r="R249">
        <v>0</v>
      </c>
      <c r="S249">
        <v>9</v>
      </c>
      <c r="T249" t="s">
        <v>74</v>
      </c>
      <c r="U249" t="s">
        <v>90</v>
      </c>
      <c r="V249" t="s">
        <v>91</v>
      </c>
      <c r="W249" s="3">
        <v>45522</v>
      </c>
      <c r="X249" t="b">
        <v>0</v>
      </c>
      <c r="Y249" t="b">
        <v>1</v>
      </c>
      <c r="Z249" t="s">
        <v>70</v>
      </c>
      <c r="AA249" t="s">
        <v>71</v>
      </c>
      <c r="AB249">
        <v>7</v>
      </c>
      <c r="AO249" t="str">
        <f t="shared" si="15"/>
        <v>26-40</v>
      </c>
      <c r="BD249">
        <v>7</v>
      </c>
      <c r="BF249" cm="1">
        <f t="array" ref="BF249">CORREL(J249:J1249,S249:S1249)</f>
        <v>-0.0301555525906464</v>
      </c>
      <c r="BH249">
        <v>9</v>
      </c>
      <c r="BI249">
        <f t="shared" si="13"/>
        <v>0.777777777777778</v>
      </c>
      <c r="BJ249">
        <f t="shared" si="14"/>
        <v>11.5714285714286</v>
      </c>
    </row>
    <row r="250" spans="1:62">
      <c r="A250" s="1">
        <v>921429480</v>
      </c>
      <c r="B250">
        <v>39</v>
      </c>
      <c r="C250" t="s">
        <v>73</v>
      </c>
      <c r="D250" t="s">
        <v>74</v>
      </c>
      <c r="E250" t="s">
        <v>103</v>
      </c>
      <c r="F250" t="s">
        <v>87</v>
      </c>
      <c r="G250" t="s">
        <v>60</v>
      </c>
      <c r="H250" t="s">
        <v>393</v>
      </c>
      <c r="I250" t="s">
        <v>171</v>
      </c>
      <c r="J250" s="2">
        <v>319.66</v>
      </c>
      <c r="K250">
        <v>7</v>
      </c>
      <c r="L250" t="s">
        <v>65</v>
      </c>
      <c r="M250">
        <v>4</v>
      </c>
      <c r="N250">
        <v>2</v>
      </c>
      <c r="O250">
        <v>1</v>
      </c>
      <c r="P250" t="s">
        <v>74</v>
      </c>
      <c r="Q250" t="s">
        <v>80</v>
      </c>
      <c r="R250">
        <v>1</v>
      </c>
      <c r="S250">
        <v>10</v>
      </c>
      <c r="T250" t="s">
        <v>66</v>
      </c>
      <c r="U250" t="s">
        <v>105</v>
      </c>
      <c r="V250" t="s">
        <v>91</v>
      </c>
      <c r="W250" s="3">
        <v>45340</v>
      </c>
      <c r="X250" t="b">
        <v>0</v>
      </c>
      <c r="Y250" t="b">
        <v>0</v>
      </c>
      <c r="Z250" t="s">
        <v>82</v>
      </c>
      <c r="AA250" t="s">
        <v>97</v>
      </c>
      <c r="AB250">
        <v>3</v>
      </c>
      <c r="AO250" t="str">
        <f t="shared" si="15"/>
        <v>26-40</v>
      </c>
      <c r="BD250">
        <v>7</v>
      </c>
      <c r="BF250" cm="1">
        <f t="array" ref="BF250">CORREL(J250:J1250,S250:S1250)</f>
        <v>-0.0313261834537995</v>
      </c>
      <c r="BH250">
        <v>10</v>
      </c>
      <c r="BI250">
        <f t="shared" si="13"/>
        <v>0.7</v>
      </c>
      <c r="BJ250">
        <f t="shared" si="14"/>
        <v>14.2857142857143</v>
      </c>
    </row>
    <row r="251" spans="1:62">
      <c r="A251" s="1">
        <v>530425685</v>
      </c>
      <c r="B251">
        <v>44</v>
      </c>
      <c r="C251" t="s">
        <v>59</v>
      </c>
      <c r="D251" t="s">
        <v>60</v>
      </c>
      <c r="E251" t="s">
        <v>98</v>
      </c>
      <c r="F251" t="s">
        <v>62</v>
      </c>
      <c r="G251" t="s">
        <v>74</v>
      </c>
      <c r="H251" t="s">
        <v>394</v>
      </c>
      <c r="I251" t="s">
        <v>209</v>
      </c>
      <c r="J251" s="2">
        <v>373.05</v>
      </c>
      <c r="K251">
        <v>3</v>
      </c>
      <c r="L251" t="s">
        <v>78</v>
      </c>
      <c r="M251">
        <v>3</v>
      </c>
      <c r="N251">
        <v>4</v>
      </c>
      <c r="O251">
        <v>0.3</v>
      </c>
      <c r="P251" t="s">
        <v>84</v>
      </c>
      <c r="Q251" t="s">
        <v>80</v>
      </c>
      <c r="R251">
        <v>1</v>
      </c>
      <c r="S251">
        <v>10</v>
      </c>
      <c r="T251" t="s">
        <v>79</v>
      </c>
      <c r="U251" t="s">
        <v>68</v>
      </c>
      <c r="V251" t="s">
        <v>110</v>
      </c>
      <c r="W251" s="3">
        <v>45365</v>
      </c>
      <c r="X251" t="b">
        <v>0</v>
      </c>
      <c r="Y251" t="b">
        <v>1</v>
      </c>
      <c r="Z251" t="s">
        <v>102</v>
      </c>
      <c r="AA251" t="s">
        <v>83</v>
      </c>
      <c r="AB251">
        <v>7</v>
      </c>
      <c r="AO251" t="str">
        <f t="shared" si="15"/>
        <v>41-60</v>
      </c>
      <c r="BD251">
        <v>3</v>
      </c>
      <c r="BF251" cm="1">
        <f t="array" ref="BF251">CORREL(J251:J1251,S251:S1251)</f>
        <v>-0.0320371147548383</v>
      </c>
      <c r="BH251">
        <v>10</v>
      </c>
      <c r="BI251">
        <f t="shared" si="13"/>
        <v>0.3</v>
      </c>
      <c r="BJ251">
        <f t="shared" si="14"/>
        <v>33.3333333333333</v>
      </c>
    </row>
    <row r="252" spans="1:62">
      <c r="A252" s="1">
        <v>358532222</v>
      </c>
      <c r="B252">
        <v>19</v>
      </c>
      <c r="C252" t="s">
        <v>59</v>
      </c>
      <c r="D252" t="s">
        <v>74</v>
      </c>
      <c r="E252" t="s">
        <v>61</v>
      </c>
      <c r="F252" t="s">
        <v>62</v>
      </c>
      <c r="G252" t="s">
        <v>74</v>
      </c>
      <c r="H252" t="s">
        <v>395</v>
      </c>
      <c r="I252" t="s">
        <v>113</v>
      </c>
      <c r="J252" s="2">
        <v>393.78</v>
      </c>
      <c r="K252">
        <v>6</v>
      </c>
      <c r="L252" t="s">
        <v>85</v>
      </c>
      <c r="M252">
        <v>3</v>
      </c>
      <c r="N252">
        <v>4</v>
      </c>
      <c r="O252">
        <v>1</v>
      </c>
      <c r="P252" t="s">
        <v>79</v>
      </c>
      <c r="Q252" t="s">
        <v>109</v>
      </c>
      <c r="R252">
        <v>0</v>
      </c>
      <c r="S252">
        <v>5</v>
      </c>
      <c r="T252" t="s">
        <v>84</v>
      </c>
      <c r="U252" t="s">
        <v>68</v>
      </c>
      <c r="V252" t="s">
        <v>96</v>
      </c>
      <c r="W252" s="3">
        <v>45376</v>
      </c>
      <c r="X252" t="b">
        <v>1</v>
      </c>
      <c r="Y252" t="b">
        <v>0</v>
      </c>
      <c r="Z252" t="s">
        <v>70</v>
      </c>
      <c r="AA252" t="s">
        <v>71</v>
      </c>
      <c r="AB252">
        <v>14</v>
      </c>
      <c r="AO252" t="str">
        <f t="shared" si="15"/>
        <v>18-25</v>
      </c>
      <c r="BD252">
        <v>6</v>
      </c>
      <c r="BF252" cm="1">
        <f t="array" ref="BF252">CORREL(J252:J1252,S252:S1252)</f>
        <v>-0.0336089214268418</v>
      </c>
      <c r="BH252">
        <v>5</v>
      </c>
      <c r="BI252">
        <f t="shared" si="13"/>
        <v>1.2</v>
      </c>
      <c r="BJ252">
        <f t="shared" si="14"/>
        <v>4.16666666666667</v>
      </c>
    </row>
    <row r="253" spans="1:62">
      <c r="A253" s="1">
        <v>836709273</v>
      </c>
      <c r="B253">
        <v>27</v>
      </c>
      <c r="C253" t="s">
        <v>59</v>
      </c>
      <c r="D253" t="s">
        <v>74</v>
      </c>
      <c r="E253" t="s">
        <v>98</v>
      </c>
      <c r="F253" t="s">
        <v>87</v>
      </c>
      <c r="G253" t="s">
        <v>74</v>
      </c>
      <c r="H253" t="s">
        <v>396</v>
      </c>
      <c r="I253" t="s">
        <v>171</v>
      </c>
      <c r="J253" s="2">
        <v>245.04</v>
      </c>
      <c r="K253">
        <v>4</v>
      </c>
      <c r="L253" t="s">
        <v>85</v>
      </c>
      <c r="M253">
        <v>3</v>
      </c>
      <c r="N253">
        <v>2</v>
      </c>
      <c r="O253">
        <v>0</v>
      </c>
      <c r="P253" t="s">
        <v>74</v>
      </c>
      <c r="Q253" t="s">
        <v>80</v>
      </c>
      <c r="R253">
        <v>2</v>
      </c>
      <c r="S253">
        <v>6</v>
      </c>
      <c r="T253" t="s">
        <v>74</v>
      </c>
      <c r="U253" t="s">
        <v>68</v>
      </c>
      <c r="V253" t="s">
        <v>96</v>
      </c>
      <c r="W253" s="3">
        <v>45629</v>
      </c>
      <c r="X253" t="b">
        <v>1</v>
      </c>
      <c r="Y253" t="b">
        <v>1</v>
      </c>
      <c r="Z253" t="s">
        <v>70</v>
      </c>
      <c r="AA253" t="s">
        <v>83</v>
      </c>
      <c r="AB253">
        <v>10</v>
      </c>
      <c r="AO253" t="str">
        <f t="shared" si="15"/>
        <v>26-40</v>
      </c>
      <c r="BD253">
        <v>4</v>
      </c>
      <c r="BF253" cm="1">
        <f t="array" ref="BF253">CORREL(J253:J1253,S253:S1253)</f>
        <v>-0.0334051748621232</v>
      </c>
      <c r="BH253">
        <v>6</v>
      </c>
      <c r="BI253">
        <f t="shared" si="13"/>
        <v>0.666666666666667</v>
      </c>
      <c r="BJ253">
        <f t="shared" si="14"/>
        <v>9</v>
      </c>
    </row>
    <row r="254" spans="1:62">
      <c r="A254" s="1">
        <v>377836086</v>
      </c>
      <c r="B254">
        <v>26</v>
      </c>
      <c r="C254" t="s">
        <v>59</v>
      </c>
      <c r="D254" t="s">
        <v>74</v>
      </c>
      <c r="E254" t="s">
        <v>103</v>
      </c>
      <c r="F254" t="s">
        <v>87</v>
      </c>
      <c r="G254" t="s">
        <v>60</v>
      </c>
      <c r="H254" t="s">
        <v>397</v>
      </c>
      <c r="I254" t="s">
        <v>174</v>
      </c>
      <c r="J254" s="2">
        <v>111.27</v>
      </c>
      <c r="K254">
        <v>3</v>
      </c>
      <c r="L254" t="s">
        <v>85</v>
      </c>
      <c r="M254">
        <v>1</v>
      </c>
      <c r="N254">
        <v>3</v>
      </c>
      <c r="O254">
        <v>1</v>
      </c>
      <c r="P254" t="s">
        <v>74</v>
      </c>
      <c r="Q254" t="s">
        <v>109</v>
      </c>
      <c r="R254">
        <v>2</v>
      </c>
      <c r="S254">
        <v>10</v>
      </c>
      <c r="T254" t="s">
        <v>66</v>
      </c>
      <c r="U254" t="s">
        <v>90</v>
      </c>
      <c r="V254" t="s">
        <v>81</v>
      </c>
      <c r="W254" s="3">
        <v>45425</v>
      </c>
      <c r="X254" t="b">
        <v>0</v>
      </c>
      <c r="Y254" t="b">
        <v>0</v>
      </c>
      <c r="Z254" t="s">
        <v>92</v>
      </c>
      <c r="AA254" t="s">
        <v>71</v>
      </c>
      <c r="AB254">
        <v>12</v>
      </c>
      <c r="AO254" t="str">
        <f t="shared" si="15"/>
        <v>26-40</v>
      </c>
      <c r="BD254">
        <v>3</v>
      </c>
      <c r="BF254" cm="1">
        <f t="array" ref="BF254">CORREL(J254:J1254,S254:S1254)</f>
        <v>-0.0333533075322658</v>
      </c>
      <c r="BH254">
        <v>10</v>
      </c>
      <c r="BI254">
        <f t="shared" si="13"/>
        <v>0.3</v>
      </c>
      <c r="BJ254">
        <f t="shared" si="14"/>
        <v>33.3333333333333</v>
      </c>
    </row>
    <row r="255" spans="1:62">
      <c r="A255" s="1">
        <v>799028144</v>
      </c>
      <c r="B255">
        <v>26</v>
      </c>
      <c r="C255" t="s">
        <v>59</v>
      </c>
      <c r="D255" t="s">
        <v>74</v>
      </c>
      <c r="E255" t="s">
        <v>86</v>
      </c>
      <c r="F255" t="s">
        <v>62</v>
      </c>
      <c r="G255" t="s">
        <v>60</v>
      </c>
      <c r="H255" t="s">
        <v>398</v>
      </c>
      <c r="I255" t="s">
        <v>135</v>
      </c>
      <c r="J255" s="2">
        <v>93.29</v>
      </c>
      <c r="K255">
        <v>11</v>
      </c>
      <c r="L255" t="s">
        <v>85</v>
      </c>
      <c r="M255">
        <v>2</v>
      </c>
      <c r="N255">
        <v>2</v>
      </c>
      <c r="O255">
        <v>0</v>
      </c>
      <c r="P255" t="s">
        <v>74</v>
      </c>
      <c r="Q255" t="s">
        <v>109</v>
      </c>
      <c r="R255">
        <v>0</v>
      </c>
      <c r="S255">
        <v>7</v>
      </c>
      <c r="T255" t="s">
        <v>84</v>
      </c>
      <c r="U255" t="s">
        <v>68</v>
      </c>
      <c r="V255" t="s">
        <v>96</v>
      </c>
      <c r="W255" s="3">
        <v>45498</v>
      </c>
      <c r="X255" t="b">
        <v>1</v>
      </c>
      <c r="Y255" t="b">
        <v>0</v>
      </c>
      <c r="Z255" t="s">
        <v>92</v>
      </c>
      <c r="AA255" t="s">
        <v>71</v>
      </c>
      <c r="AB255">
        <v>9</v>
      </c>
      <c r="AO255" t="str">
        <f t="shared" si="15"/>
        <v>26-40</v>
      </c>
      <c r="BD255">
        <v>11</v>
      </c>
      <c r="BF255" cm="1">
        <f t="array" ref="BF255">CORREL(J255:J1255,S255:S1255)</f>
        <v>-0.0307890775063567</v>
      </c>
      <c r="BH255">
        <v>7</v>
      </c>
      <c r="BI255">
        <f t="shared" si="13"/>
        <v>1.57142857142857</v>
      </c>
      <c r="BJ255">
        <f t="shared" si="14"/>
        <v>4.45454545454546</v>
      </c>
    </row>
    <row r="256" spans="1:62">
      <c r="A256" s="1">
        <v>410097879</v>
      </c>
      <c r="B256">
        <v>27</v>
      </c>
      <c r="C256" t="s">
        <v>59</v>
      </c>
      <c r="D256" t="s">
        <v>74</v>
      </c>
      <c r="E256" t="s">
        <v>61</v>
      </c>
      <c r="F256" t="s">
        <v>75</v>
      </c>
      <c r="G256" t="s">
        <v>60</v>
      </c>
      <c r="H256" t="s">
        <v>399</v>
      </c>
      <c r="I256" t="s">
        <v>124</v>
      </c>
      <c r="J256" s="2">
        <v>156.5</v>
      </c>
      <c r="K256">
        <v>5</v>
      </c>
      <c r="L256" t="s">
        <v>65</v>
      </c>
      <c r="M256">
        <v>1</v>
      </c>
      <c r="N256">
        <v>1</v>
      </c>
      <c r="O256">
        <v>1</v>
      </c>
      <c r="P256" t="s">
        <v>74</v>
      </c>
      <c r="Q256" t="s">
        <v>109</v>
      </c>
      <c r="R256">
        <v>0</v>
      </c>
      <c r="S256">
        <v>3</v>
      </c>
      <c r="T256" t="s">
        <v>74</v>
      </c>
      <c r="U256" t="s">
        <v>105</v>
      </c>
      <c r="V256" t="s">
        <v>96</v>
      </c>
      <c r="W256" s="3">
        <v>45301</v>
      </c>
      <c r="X256" t="b">
        <v>1</v>
      </c>
      <c r="Y256" t="b">
        <v>0</v>
      </c>
      <c r="Z256" t="s">
        <v>82</v>
      </c>
      <c r="AA256" t="s">
        <v>83</v>
      </c>
      <c r="AB256">
        <v>14</v>
      </c>
      <c r="AO256" t="str">
        <f t="shared" si="15"/>
        <v>26-40</v>
      </c>
      <c r="BD256">
        <v>5</v>
      </c>
      <c r="BF256" cm="1">
        <f t="array" ref="BF256">CORREL(J256:J1256,S256:S1256)</f>
        <v>-0.0298644205099534</v>
      </c>
      <c r="BH256">
        <v>3</v>
      </c>
      <c r="BI256">
        <f t="shared" si="13"/>
        <v>1.66666666666667</v>
      </c>
      <c r="BJ256">
        <f t="shared" si="14"/>
        <v>1.8</v>
      </c>
    </row>
    <row r="257" spans="1:62">
      <c r="A257" s="1">
        <v>893028461</v>
      </c>
      <c r="B257">
        <v>37</v>
      </c>
      <c r="C257" t="s">
        <v>73</v>
      </c>
      <c r="D257" t="s">
        <v>60</v>
      </c>
      <c r="E257" t="s">
        <v>86</v>
      </c>
      <c r="F257" t="s">
        <v>87</v>
      </c>
      <c r="G257" t="s">
        <v>60</v>
      </c>
      <c r="H257" t="s">
        <v>400</v>
      </c>
      <c r="I257" t="s">
        <v>129</v>
      </c>
      <c r="J257" s="2">
        <v>290.11</v>
      </c>
      <c r="K257">
        <v>8</v>
      </c>
      <c r="L257" t="s">
        <v>65</v>
      </c>
      <c r="M257">
        <v>4</v>
      </c>
      <c r="N257">
        <v>4</v>
      </c>
      <c r="O257">
        <v>1</v>
      </c>
      <c r="P257" t="s">
        <v>79</v>
      </c>
      <c r="Q257" t="s">
        <v>109</v>
      </c>
      <c r="R257">
        <v>1</v>
      </c>
      <c r="S257">
        <v>4</v>
      </c>
      <c r="T257" t="s">
        <v>79</v>
      </c>
      <c r="U257" t="s">
        <v>90</v>
      </c>
      <c r="V257" t="s">
        <v>81</v>
      </c>
      <c r="W257" s="3">
        <v>45595</v>
      </c>
      <c r="X257" t="b">
        <v>0</v>
      </c>
      <c r="Y257" t="b">
        <v>0</v>
      </c>
      <c r="Z257" t="s">
        <v>92</v>
      </c>
      <c r="AA257" t="s">
        <v>71</v>
      </c>
      <c r="AB257">
        <v>14</v>
      </c>
      <c r="AO257" t="str">
        <f t="shared" si="15"/>
        <v>26-40</v>
      </c>
      <c r="BD257">
        <v>8</v>
      </c>
      <c r="BF257" cm="1">
        <f t="array" ref="BF257">CORREL(J257:J1257,S257:S1257)</f>
        <v>-0.0310006159230814</v>
      </c>
      <c r="BH257">
        <v>4</v>
      </c>
      <c r="BI257">
        <f t="shared" si="13"/>
        <v>2</v>
      </c>
      <c r="BJ257">
        <f t="shared" si="14"/>
        <v>2</v>
      </c>
    </row>
    <row r="258" spans="1:62">
      <c r="A258" s="1">
        <v>230661915</v>
      </c>
      <c r="B258">
        <v>23</v>
      </c>
      <c r="C258" t="s">
        <v>59</v>
      </c>
      <c r="D258" t="s">
        <v>60</v>
      </c>
      <c r="E258" t="s">
        <v>86</v>
      </c>
      <c r="F258" t="s">
        <v>62</v>
      </c>
      <c r="G258" t="s">
        <v>60</v>
      </c>
      <c r="H258" t="s">
        <v>234</v>
      </c>
      <c r="I258" t="s">
        <v>133</v>
      </c>
      <c r="J258" s="2">
        <v>355.28</v>
      </c>
      <c r="K258">
        <v>3</v>
      </c>
      <c r="L258" t="s">
        <v>65</v>
      </c>
      <c r="M258">
        <v>5</v>
      </c>
      <c r="N258">
        <v>5</v>
      </c>
      <c r="O258">
        <v>0</v>
      </c>
      <c r="P258" t="s">
        <v>84</v>
      </c>
      <c r="Q258" t="s">
        <v>109</v>
      </c>
      <c r="R258">
        <v>1</v>
      </c>
      <c r="S258">
        <v>4</v>
      </c>
      <c r="T258" t="s">
        <v>84</v>
      </c>
      <c r="U258" t="s">
        <v>90</v>
      </c>
      <c r="V258" t="s">
        <v>69</v>
      </c>
      <c r="W258" s="3">
        <v>45552</v>
      </c>
      <c r="X258" t="b">
        <v>1</v>
      </c>
      <c r="Y258" t="b">
        <v>1</v>
      </c>
      <c r="Z258" t="s">
        <v>102</v>
      </c>
      <c r="AA258" t="s">
        <v>71</v>
      </c>
      <c r="AB258">
        <v>5</v>
      </c>
      <c r="AO258" t="str">
        <f t="shared" si="15"/>
        <v>18-25</v>
      </c>
      <c r="BD258">
        <v>3</v>
      </c>
      <c r="BF258" cm="1">
        <f t="array" ref="BF258">CORREL(J258:J1258,S258:S1258)</f>
        <v>-0.0309426356855332</v>
      </c>
      <c r="BH258">
        <v>4</v>
      </c>
      <c r="BI258">
        <f t="shared" si="13"/>
        <v>0.75</v>
      </c>
      <c r="BJ258">
        <f t="shared" si="14"/>
        <v>5.33333333333333</v>
      </c>
    </row>
    <row r="259" spans="1:62">
      <c r="A259" s="1">
        <v>390900124</v>
      </c>
      <c r="B259">
        <v>31</v>
      </c>
      <c r="C259" t="s">
        <v>111</v>
      </c>
      <c r="D259" t="s">
        <v>60</v>
      </c>
      <c r="E259" t="s">
        <v>86</v>
      </c>
      <c r="F259" t="s">
        <v>62</v>
      </c>
      <c r="G259" t="s">
        <v>74</v>
      </c>
      <c r="H259" t="s">
        <v>401</v>
      </c>
      <c r="I259" t="s">
        <v>64</v>
      </c>
      <c r="J259" s="2">
        <v>73.74</v>
      </c>
      <c r="K259">
        <v>7</v>
      </c>
      <c r="L259" t="s">
        <v>85</v>
      </c>
      <c r="M259">
        <v>4</v>
      </c>
      <c r="N259">
        <v>2</v>
      </c>
      <c r="O259">
        <v>0.3</v>
      </c>
      <c r="P259" t="s">
        <v>74</v>
      </c>
      <c r="Q259" t="s">
        <v>80</v>
      </c>
      <c r="R259">
        <v>1</v>
      </c>
      <c r="S259">
        <v>3</v>
      </c>
      <c r="T259" t="s">
        <v>79</v>
      </c>
      <c r="U259" t="s">
        <v>90</v>
      </c>
      <c r="V259" t="s">
        <v>96</v>
      </c>
      <c r="W259" s="3">
        <v>45521</v>
      </c>
      <c r="X259" t="b">
        <v>0</v>
      </c>
      <c r="Y259" t="b">
        <v>0</v>
      </c>
      <c r="Z259" t="s">
        <v>82</v>
      </c>
      <c r="AA259" t="s">
        <v>83</v>
      </c>
      <c r="AB259">
        <v>13</v>
      </c>
      <c r="AO259" t="str">
        <f t="shared" si="15"/>
        <v>26-40</v>
      </c>
      <c r="BD259">
        <v>7</v>
      </c>
      <c r="BF259" cm="1">
        <f t="array" ref="BF259">CORREL(J259:J1259,S259:S1259)</f>
        <v>-0.0305328054755947</v>
      </c>
      <c r="BH259">
        <v>3</v>
      </c>
      <c r="BI259">
        <f t="shared" ref="BI259:BI322" si="16">K259/S259</f>
        <v>2.33333333333333</v>
      </c>
      <c r="BJ259">
        <f t="shared" ref="BJ259:BJ322" si="17">BH259/BI259</f>
        <v>1.28571428571429</v>
      </c>
    </row>
    <row r="260" spans="1:62">
      <c r="A260" s="1">
        <v>418540707</v>
      </c>
      <c r="B260">
        <v>21</v>
      </c>
      <c r="C260" t="s">
        <v>59</v>
      </c>
      <c r="D260" t="s">
        <v>60</v>
      </c>
      <c r="E260" t="s">
        <v>98</v>
      </c>
      <c r="F260" t="s">
        <v>87</v>
      </c>
      <c r="G260" t="s">
        <v>60</v>
      </c>
      <c r="H260" t="s">
        <v>402</v>
      </c>
      <c r="I260" t="s">
        <v>113</v>
      </c>
      <c r="J260" s="2">
        <v>170.35</v>
      </c>
      <c r="K260">
        <v>10</v>
      </c>
      <c r="L260" t="s">
        <v>78</v>
      </c>
      <c r="M260">
        <v>2</v>
      </c>
      <c r="N260">
        <v>1</v>
      </c>
      <c r="O260">
        <v>1</v>
      </c>
      <c r="P260" t="s">
        <v>79</v>
      </c>
      <c r="Q260" t="s">
        <v>109</v>
      </c>
      <c r="R260">
        <v>1</v>
      </c>
      <c r="S260">
        <v>10</v>
      </c>
      <c r="T260" t="s">
        <v>84</v>
      </c>
      <c r="U260" t="s">
        <v>105</v>
      </c>
      <c r="V260" t="s">
        <v>110</v>
      </c>
      <c r="W260" s="3">
        <v>45446</v>
      </c>
      <c r="X260" t="b">
        <v>1</v>
      </c>
      <c r="Y260" t="b">
        <v>1</v>
      </c>
      <c r="Z260" t="s">
        <v>70</v>
      </c>
      <c r="AA260" t="s">
        <v>83</v>
      </c>
      <c r="AB260">
        <v>1</v>
      </c>
      <c r="AO260" t="str">
        <f t="shared" si="15"/>
        <v>18-25</v>
      </c>
      <c r="BD260">
        <v>10</v>
      </c>
      <c r="BF260" cm="1">
        <f t="array" ref="BF260">CORREL(J260:J1260,S260:S1260)</f>
        <v>-0.0324628368723939</v>
      </c>
      <c r="BH260">
        <v>10</v>
      </c>
      <c r="BI260">
        <f t="shared" si="16"/>
        <v>1</v>
      </c>
      <c r="BJ260">
        <f t="shared" si="17"/>
        <v>10</v>
      </c>
    </row>
    <row r="261" spans="1:62">
      <c r="A261" s="4" t="s">
        <v>403</v>
      </c>
      <c r="B261">
        <v>36</v>
      </c>
      <c r="C261" t="s">
        <v>59</v>
      </c>
      <c r="D261" t="s">
        <v>74</v>
      </c>
      <c r="E261" t="s">
        <v>86</v>
      </c>
      <c r="F261" t="s">
        <v>87</v>
      </c>
      <c r="G261" t="s">
        <v>60</v>
      </c>
      <c r="H261" t="s">
        <v>404</v>
      </c>
      <c r="I261" t="s">
        <v>95</v>
      </c>
      <c r="J261" s="2">
        <v>123.7</v>
      </c>
      <c r="K261">
        <v>6</v>
      </c>
      <c r="L261" t="s">
        <v>85</v>
      </c>
      <c r="M261">
        <v>2</v>
      </c>
      <c r="N261">
        <v>5</v>
      </c>
      <c r="O261">
        <v>0</v>
      </c>
      <c r="P261" t="s">
        <v>74</v>
      </c>
      <c r="Q261" t="s">
        <v>109</v>
      </c>
      <c r="R261">
        <v>1</v>
      </c>
      <c r="S261">
        <v>5</v>
      </c>
      <c r="T261" t="s">
        <v>66</v>
      </c>
      <c r="U261" t="s">
        <v>90</v>
      </c>
      <c r="V261" t="s">
        <v>96</v>
      </c>
      <c r="W261" s="3">
        <v>45501</v>
      </c>
      <c r="X261" t="b">
        <v>0</v>
      </c>
      <c r="Y261" t="b">
        <v>0</v>
      </c>
      <c r="Z261" t="s">
        <v>92</v>
      </c>
      <c r="AA261" t="s">
        <v>97</v>
      </c>
      <c r="AB261">
        <v>2</v>
      </c>
      <c r="AO261" t="str">
        <f t="shared" si="15"/>
        <v>26-40</v>
      </c>
      <c r="BD261">
        <v>6</v>
      </c>
      <c r="BF261" cm="1">
        <f t="array" ref="BF261">CORREL(J261:J1261,S261:S1261)</f>
        <v>-0.0307941368910207</v>
      </c>
      <c r="BH261">
        <v>5</v>
      </c>
      <c r="BI261">
        <f t="shared" si="16"/>
        <v>1.2</v>
      </c>
      <c r="BJ261">
        <f t="shared" si="17"/>
        <v>4.16666666666667</v>
      </c>
    </row>
    <row r="262" spans="1:62">
      <c r="A262" s="1">
        <v>938678303</v>
      </c>
      <c r="B262">
        <v>21</v>
      </c>
      <c r="C262" t="s">
        <v>59</v>
      </c>
      <c r="D262" t="s">
        <v>60</v>
      </c>
      <c r="E262" t="s">
        <v>86</v>
      </c>
      <c r="F262" t="s">
        <v>87</v>
      </c>
      <c r="G262" t="s">
        <v>74</v>
      </c>
      <c r="H262" t="s">
        <v>405</v>
      </c>
      <c r="I262" t="s">
        <v>64</v>
      </c>
      <c r="J262" s="2">
        <v>201.6</v>
      </c>
      <c r="K262">
        <v>9</v>
      </c>
      <c r="L262" t="s">
        <v>78</v>
      </c>
      <c r="M262">
        <v>1</v>
      </c>
      <c r="N262">
        <v>4</v>
      </c>
      <c r="O262">
        <v>2</v>
      </c>
      <c r="P262" t="s">
        <v>79</v>
      </c>
      <c r="Q262" t="s">
        <v>109</v>
      </c>
      <c r="R262">
        <v>1</v>
      </c>
      <c r="S262">
        <v>4</v>
      </c>
      <c r="T262" t="s">
        <v>74</v>
      </c>
      <c r="U262" t="s">
        <v>90</v>
      </c>
      <c r="V262" t="s">
        <v>81</v>
      </c>
      <c r="W262" s="3">
        <v>45589</v>
      </c>
      <c r="X262" t="b">
        <v>0</v>
      </c>
      <c r="Y262" t="b">
        <v>0</v>
      </c>
      <c r="Z262" t="s">
        <v>92</v>
      </c>
      <c r="AA262" t="s">
        <v>97</v>
      </c>
      <c r="AB262">
        <v>14</v>
      </c>
      <c r="AO262" t="str">
        <f t="shared" si="15"/>
        <v>18-25</v>
      </c>
      <c r="BD262">
        <v>9</v>
      </c>
      <c r="BF262" cm="1">
        <f t="array" ref="BF262">CORREL(J262:J1262,S262:S1262)</f>
        <v>-0.0311221033606037</v>
      </c>
      <c r="BH262">
        <v>4</v>
      </c>
      <c r="BI262">
        <f t="shared" si="16"/>
        <v>2.25</v>
      </c>
      <c r="BJ262">
        <f t="shared" si="17"/>
        <v>1.77777777777778</v>
      </c>
    </row>
    <row r="263" spans="1:62">
      <c r="A263" s="1">
        <v>310886950</v>
      </c>
      <c r="B263">
        <v>27</v>
      </c>
      <c r="C263" t="s">
        <v>59</v>
      </c>
      <c r="D263" t="s">
        <v>60</v>
      </c>
      <c r="E263" t="s">
        <v>86</v>
      </c>
      <c r="F263" t="s">
        <v>87</v>
      </c>
      <c r="G263" t="s">
        <v>74</v>
      </c>
      <c r="H263" t="s">
        <v>406</v>
      </c>
      <c r="I263" t="s">
        <v>100</v>
      </c>
      <c r="J263" s="2">
        <v>116.14</v>
      </c>
      <c r="K263">
        <v>11</v>
      </c>
      <c r="L263" t="s">
        <v>65</v>
      </c>
      <c r="M263">
        <v>1</v>
      </c>
      <c r="N263">
        <v>4</v>
      </c>
      <c r="O263">
        <v>1</v>
      </c>
      <c r="P263" t="s">
        <v>74</v>
      </c>
      <c r="Q263" t="s">
        <v>67</v>
      </c>
      <c r="R263">
        <v>0</v>
      </c>
      <c r="S263">
        <v>8</v>
      </c>
      <c r="T263" t="s">
        <v>79</v>
      </c>
      <c r="U263" t="s">
        <v>105</v>
      </c>
      <c r="V263" t="s">
        <v>69</v>
      </c>
      <c r="W263" s="3">
        <v>45383</v>
      </c>
      <c r="X263" t="b">
        <v>0</v>
      </c>
      <c r="Y263" t="b">
        <v>1</v>
      </c>
      <c r="Z263" t="s">
        <v>82</v>
      </c>
      <c r="AA263" t="s">
        <v>97</v>
      </c>
      <c r="AB263">
        <v>14</v>
      </c>
      <c r="AO263" t="str">
        <f t="shared" si="15"/>
        <v>26-40</v>
      </c>
      <c r="BD263">
        <v>11</v>
      </c>
      <c r="BF263" cm="1">
        <f t="array" ref="BF263">CORREL(J263:J1263,S263:S1263)</f>
        <v>-0.0315634002546979</v>
      </c>
      <c r="BH263">
        <v>8</v>
      </c>
      <c r="BI263">
        <f t="shared" si="16"/>
        <v>1.375</v>
      </c>
      <c r="BJ263">
        <f t="shared" si="17"/>
        <v>5.81818181818182</v>
      </c>
    </row>
    <row r="264" spans="1:62">
      <c r="A264" s="1">
        <v>436168365</v>
      </c>
      <c r="B264">
        <v>29</v>
      </c>
      <c r="C264" t="s">
        <v>59</v>
      </c>
      <c r="D264" t="s">
        <v>60</v>
      </c>
      <c r="E264" t="s">
        <v>86</v>
      </c>
      <c r="F264" t="s">
        <v>87</v>
      </c>
      <c r="G264" t="s">
        <v>74</v>
      </c>
      <c r="H264" t="s">
        <v>407</v>
      </c>
      <c r="I264" t="s">
        <v>209</v>
      </c>
      <c r="J264" s="2">
        <v>483.38</v>
      </c>
      <c r="K264">
        <v>9</v>
      </c>
      <c r="L264" t="s">
        <v>85</v>
      </c>
      <c r="M264">
        <v>2</v>
      </c>
      <c r="N264">
        <v>1</v>
      </c>
      <c r="O264">
        <v>0</v>
      </c>
      <c r="P264" t="s">
        <v>74</v>
      </c>
      <c r="Q264" t="s">
        <v>67</v>
      </c>
      <c r="R264">
        <v>2</v>
      </c>
      <c r="S264">
        <v>3</v>
      </c>
      <c r="T264" t="s">
        <v>74</v>
      </c>
      <c r="U264" t="s">
        <v>105</v>
      </c>
      <c r="V264" t="s">
        <v>96</v>
      </c>
      <c r="W264" s="3">
        <v>45452</v>
      </c>
      <c r="X264" t="b">
        <v>0</v>
      </c>
      <c r="Y264" t="b">
        <v>1</v>
      </c>
      <c r="Z264" t="s">
        <v>70</v>
      </c>
      <c r="AA264" t="s">
        <v>83</v>
      </c>
      <c r="AB264">
        <v>8</v>
      </c>
      <c r="AO264" t="str">
        <f t="shared" si="15"/>
        <v>26-40</v>
      </c>
      <c r="BD264">
        <v>9</v>
      </c>
      <c r="BF264" cm="1">
        <f t="array" ref="BF264">CORREL(J264:J1264,S264:S1264)</f>
        <v>-0.0301636583399215</v>
      </c>
      <c r="BH264">
        <v>3</v>
      </c>
      <c r="BI264">
        <f t="shared" si="16"/>
        <v>3</v>
      </c>
      <c r="BJ264">
        <f t="shared" si="17"/>
        <v>1</v>
      </c>
    </row>
    <row r="265" spans="1:62">
      <c r="A265" s="1">
        <v>718769118</v>
      </c>
      <c r="B265">
        <v>24</v>
      </c>
      <c r="C265" t="s">
        <v>73</v>
      </c>
      <c r="D265" t="s">
        <v>60</v>
      </c>
      <c r="E265" t="s">
        <v>86</v>
      </c>
      <c r="F265" t="s">
        <v>75</v>
      </c>
      <c r="G265" t="s">
        <v>60</v>
      </c>
      <c r="H265" t="s">
        <v>408</v>
      </c>
      <c r="I265" t="s">
        <v>147</v>
      </c>
      <c r="J265" s="2">
        <v>418.62</v>
      </c>
      <c r="K265">
        <v>9</v>
      </c>
      <c r="L265" t="s">
        <v>78</v>
      </c>
      <c r="M265">
        <v>1</v>
      </c>
      <c r="N265">
        <v>2</v>
      </c>
      <c r="O265">
        <v>0</v>
      </c>
      <c r="P265" t="s">
        <v>84</v>
      </c>
      <c r="Q265" t="s">
        <v>80</v>
      </c>
      <c r="R265">
        <v>0</v>
      </c>
      <c r="S265">
        <v>9</v>
      </c>
      <c r="T265" t="s">
        <v>66</v>
      </c>
      <c r="U265" t="s">
        <v>90</v>
      </c>
      <c r="V265" t="s">
        <v>96</v>
      </c>
      <c r="W265" s="3">
        <v>45610</v>
      </c>
      <c r="X265" t="b">
        <v>1</v>
      </c>
      <c r="Y265" t="b">
        <v>0</v>
      </c>
      <c r="Z265" t="s">
        <v>70</v>
      </c>
      <c r="AA265" t="s">
        <v>83</v>
      </c>
      <c r="AB265">
        <v>11</v>
      </c>
      <c r="AO265" t="str">
        <f t="shared" si="15"/>
        <v>18-25</v>
      </c>
      <c r="BD265">
        <v>9</v>
      </c>
      <c r="BF265" cm="1">
        <f t="array" ref="BF265">CORREL(J265:J1265,S265:S1265)</f>
        <v>-0.0283576024414896</v>
      </c>
      <c r="BH265">
        <v>9</v>
      </c>
      <c r="BI265">
        <f t="shared" si="16"/>
        <v>1</v>
      </c>
      <c r="BJ265">
        <f t="shared" si="17"/>
        <v>9</v>
      </c>
    </row>
    <row r="266" spans="1:62">
      <c r="A266" s="1">
        <v>182630366</v>
      </c>
      <c r="B266">
        <v>33</v>
      </c>
      <c r="C266" t="s">
        <v>59</v>
      </c>
      <c r="D266" t="s">
        <v>60</v>
      </c>
      <c r="E266" t="s">
        <v>103</v>
      </c>
      <c r="F266" t="s">
        <v>62</v>
      </c>
      <c r="G266" t="s">
        <v>60</v>
      </c>
      <c r="H266" t="s">
        <v>409</v>
      </c>
      <c r="I266" t="s">
        <v>107</v>
      </c>
      <c r="J266" s="2">
        <v>139.83</v>
      </c>
      <c r="K266">
        <v>12</v>
      </c>
      <c r="L266" t="s">
        <v>85</v>
      </c>
      <c r="M266">
        <v>2</v>
      </c>
      <c r="N266">
        <v>4</v>
      </c>
      <c r="O266">
        <v>2</v>
      </c>
      <c r="P266" t="s">
        <v>66</v>
      </c>
      <c r="Q266" t="s">
        <v>80</v>
      </c>
      <c r="R266">
        <v>0</v>
      </c>
      <c r="S266">
        <v>1</v>
      </c>
      <c r="T266" t="s">
        <v>66</v>
      </c>
      <c r="U266" t="s">
        <v>68</v>
      </c>
      <c r="V266" t="s">
        <v>110</v>
      </c>
      <c r="W266" s="3">
        <v>45573</v>
      </c>
      <c r="X266" t="b">
        <v>0</v>
      </c>
      <c r="Y266" t="b">
        <v>0</v>
      </c>
      <c r="Z266" t="s">
        <v>92</v>
      </c>
      <c r="AA266" t="s">
        <v>97</v>
      </c>
      <c r="AB266">
        <v>10</v>
      </c>
      <c r="AO266" t="str">
        <f t="shared" si="15"/>
        <v>26-40</v>
      </c>
      <c r="BD266">
        <v>12</v>
      </c>
      <c r="BF266" cm="1">
        <f t="array" ref="BF266">CORREL(J266:J1266,S266:S1266)</f>
        <v>-0.0301603245575763</v>
      </c>
      <c r="BH266">
        <v>1</v>
      </c>
      <c r="BI266">
        <f t="shared" si="16"/>
        <v>12</v>
      </c>
      <c r="BJ266">
        <f t="shared" si="17"/>
        <v>0.0833333333333333</v>
      </c>
    </row>
    <row r="267" spans="1:62">
      <c r="A267" s="1">
        <v>255021415</v>
      </c>
      <c r="B267">
        <v>38</v>
      </c>
      <c r="C267" t="s">
        <v>59</v>
      </c>
      <c r="D267" t="s">
        <v>74</v>
      </c>
      <c r="E267" t="s">
        <v>61</v>
      </c>
      <c r="F267" t="s">
        <v>87</v>
      </c>
      <c r="G267" t="s">
        <v>60</v>
      </c>
      <c r="H267" t="s">
        <v>410</v>
      </c>
      <c r="I267" t="s">
        <v>143</v>
      </c>
      <c r="J267" s="2">
        <v>54.17</v>
      </c>
      <c r="K267">
        <v>4</v>
      </c>
      <c r="L267" t="s">
        <v>65</v>
      </c>
      <c r="M267">
        <v>4</v>
      </c>
      <c r="N267">
        <v>5</v>
      </c>
      <c r="O267">
        <v>0</v>
      </c>
      <c r="P267" t="s">
        <v>79</v>
      </c>
      <c r="Q267" t="s">
        <v>67</v>
      </c>
      <c r="R267">
        <v>2</v>
      </c>
      <c r="S267">
        <v>2</v>
      </c>
      <c r="T267" t="s">
        <v>79</v>
      </c>
      <c r="U267" t="s">
        <v>105</v>
      </c>
      <c r="V267" t="s">
        <v>69</v>
      </c>
      <c r="W267" s="3">
        <v>45302</v>
      </c>
      <c r="X267" t="b">
        <v>0</v>
      </c>
      <c r="Y267" t="b">
        <v>1</v>
      </c>
      <c r="Z267" t="s">
        <v>102</v>
      </c>
      <c r="AA267" t="s">
        <v>71</v>
      </c>
      <c r="AB267">
        <v>7</v>
      </c>
      <c r="AO267" t="str">
        <f t="shared" si="15"/>
        <v>26-40</v>
      </c>
      <c r="BD267">
        <v>4</v>
      </c>
      <c r="BF267" cm="1">
        <f t="array" ref="BF267">CORREL(J267:J1267,S267:S1267)</f>
        <v>-0.0325239199856742</v>
      </c>
      <c r="BH267">
        <v>2</v>
      </c>
      <c r="BI267">
        <f t="shared" si="16"/>
        <v>2</v>
      </c>
      <c r="BJ267">
        <f t="shared" si="17"/>
        <v>1</v>
      </c>
    </row>
    <row r="268" spans="1:62">
      <c r="A268" s="1">
        <v>500009588</v>
      </c>
      <c r="B268">
        <v>47</v>
      </c>
      <c r="C268" t="s">
        <v>73</v>
      </c>
      <c r="D268" t="s">
        <v>74</v>
      </c>
      <c r="E268" t="s">
        <v>103</v>
      </c>
      <c r="F268" t="s">
        <v>87</v>
      </c>
      <c r="G268" t="s">
        <v>74</v>
      </c>
      <c r="H268" t="s">
        <v>411</v>
      </c>
      <c r="I268" t="s">
        <v>209</v>
      </c>
      <c r="J268" s="2">
        <v>437.59</v>
      </c>
      <c r="K268">
        <v>10</v>
      </c>
      <c r="L268" t="s">
        <v>78</v>
      </c>
      <c r="M268">
        <v>1</v>
      </c>
      <c r="N268">
        <v>4</v>
      </c>
      <c r="O268">
        <v>0</v>
      </c>
      <c r="P268" t="s">
        <v>66</v>
      </c>
      <c r="Q268" t="s">
        <v>109</v>
      </c>
      <c r="R268">
        <v>0</v>
      </c>
      <c r="S268">
        <v>4</v>
      </c>
      <c r="T268" t="s">
        <v>74</v>
      </c>
      <c r="U268" t="s">
        <v>68</v>
      </c>
      <c r="V268" t="s">
        <v>69</v>
      </c>
      <c r="W268" s="3">
        <v>45348</v>
      </c>
      <c r="X268" t="b">
        <v>1</v>
      </c>
      <c r="Y268" t="b">
        <v>1</v>
      </c>
      <c r="Z268" t="s">
        <v>92</v>
      </c>
      <c r="AA268" t="s">
        <v>97</v>
      </c>
      <c r="AB268">
        <v>9</v>
      </c>
      <c r="AO268" t="str">
        <f t="shared" si="15"/>
        <v>41-60</v>
      </c>
      <c r="BD268">
        <v>10</v>
      </c>
      <c r="BF268" cm="1">
        <f t="array" ref="BF268">CORREL(J268:J1268,S268:S1268)</f>
        <v>-0.0355224019088489</v>
      </c>
      <c r="BH268">
        <v>4</v>
      </c>
      <c r="BI268">
        <f t="shared" si="16"/>
        <v>2.5</v>
      </c>
      <c r="BJ268">
        <f t="shared" si="17"/>
        <v>1.6</v>
      </c>
    </row>
    <row r="269" spans="1:62">
      <c r="A269" s="1">
        <v>323385967</v>
      </c>
      <c r="B269">
        <v>32</v>
      </c>
      <c r="C269" t="s">
        <v>73</v>
      </c>
      <c r="D269" t="s">
        <v>60</v>
      </c>
      <c r="E269" t="s">
        <v>98</v>
      </c>
      <c r="F269" t="s">
        <v>62</v>
      </c>
      <c r="G269" t="s">
        <v>74</v>
      </c>
      <c r="H269" t="s">
        <v>412</v>
      </c>
      <c r="I269" t="s">
        <v>124</v>
      </c>
      <c r="J269" s="2">
        <v>113.57</v>
      </c>
      <c r="K269">
        <v>5</v>
      </c>
      <c r="L269" t="s">
        <v>85</v>
      </c>
      <c r="M269">
        <v>4</v>
      </c>
      <c r="N269">
        <v>4</v>
      </c>
      <c r="O269">
        <v>2</v>
      </c>
      <c r="P269" t="s">
        <v>79</v>
      </c>
      <c r="Q269" t="s">
        <v>109</v>
      </c>
      <c r="R269">
        <v>1</v>
      </c>
      <c r="S269">
        <v>1</v>
      </c>
      <c r="T269" t="s">
        <v>74</v>
      </c>
      <c r="U269" t="s">
        <v>68</v>
      </c>
      <c r="V269" t="s">
        <v>110</v>
      </c>
      <c r="W269" s="3">
        <v>45597</v>
      </c>
      <c r="X269" t="b">
        <v>0</v>
      </c>
      <c r="Y269" t="b">
        <v>1</v>
      </c>
      <c r="Z269" t="s">
        <v>82</v>
      </c>
      <c r="AA269" t="s">
        <v>83</v>
      </c>
      <c r="AB269">
        <v>8</v>
      </c>
      <c r="AO269" t="str">
        <f t="shared" si="15"/>
        <v>26-40</v>
      </c>
      <c r="BD269">
        <v>5</v>
      </c>
      <c r="BF269" cm="1">
        <f t="array" ref="BF269">CORREL(J269:J1269,S269:S1269)</f>
        <v>-0.0346729795645186</v>
      </c>
      <c r="BH269">
        <v>1</v>
      </c>
      <c r="BI269">
        <f t="shared" si="16"/>
        <v>5</v>
      </c>
      <c r="BJ269">
        <f t="shared" si="17"/>
        <v>0.2</v>
      </c>
    </row>
    <row r="270" spans="1:62">
      <c r="A270" s="1">
        <v>193119149</v>
      </c>
      <c r="B270">
        <v>21</v>
      </c>
      <c r="C270" t="s">
        <v>111</v>
      </c>
      <c r="D270" t="s">
        <v>74</v>
      </c>
      <c r="E270" t="s">
        <v>86</v>
      </c>
      <c r="F270" t="s">
        <v>75</v>
      </c>
      <c r="G270" t="s">
        <v>74</v>
      </c>
      <c r="H270" t="s">
        <v>413</v>
      </c>
      <c r="I270" t="s">
        <v>129</v>
      </c>
      <c r="J270" s="2">
        <v>305.54</v>
      </c>
      <c r="K270">
        <v>6</v>
      </c>
      <c r="L270" t="s">
        <v>78</v>
      </c>
      <c r="M270">
        <v>3</v>
      </c>
      <c r="N270">
        <v>5</v>
      </c>
      <c r="O270">
        <v>0</v>
      </c>
      <c r="P270" t="s">
        <v>79</v>
      </c>
      <c r="Q270" t="s">
        <v>67</v>
      </c>
      <c r="R270">
        <v>0</v>
      </c>
      <c r="S270">
        <v>5</v>
      </c>
      <c r="T270" t="s">
        <v>79</v>
      </c>
      <c r="U270" t="s">
        <v>90</v>
      </c>
      <c r="V270" t="s">
        <v>96</v>
      </c>
      <c r="W270" s="3">
        <v>45379</v>
      </c>
      <c r="X270" t="b">
        <v>1</v>
      </c>
      <c r="Y270" t="b">
        <v>0</v>
      </c>
      <c r="Z270" t="s">
        <v>82</v>
      </c>
      <c r="AA270" t="s">
        <v>71</v>
      </c>
      <c r="AB270">
        <v>7</v>
      </c>
      <c r="AO270" t="str">
        <f t="shared" si="15"/>
        <v>18-25</v>
      </c>
      <c r="BD270">
        <v>6</v>
      </c>
      <c r="BF270" cm="1">
        <f t="array" ref="BF270">CORREL(J270:J1270,S270:S1270)</f>
        <v>-0.0375241295015216</v>
      </c>
      <c r="BH270">
        <v>5</v>
      </c>
      <c r="BI270">
        <f t="shared" si="16"/>
        <v>1.2</v>
      </c>
      <c r="BJ270">
        <f t="shared" si="17"/>
        <v>4.16666666666667</v>
      </c>
    </row>
    <row r="271" spans="1:62">
      <c r="A271" s="1">
        <v>942127169</v>
      </c>
      <c r="B271">
        <v>23</v>
      </c>
      <c r="C271" t="s">
        <v>59</v>
      </c>
      <c r="D271" t="s">
        <v>74</v>
      </c>
      <c r="E271" t="s">
        <v>103</v>
      </c>
      <c r="F271" t="s">
        <v>75</v>
      </c>
      <c r="G271" t="s">
        <v>74</v>
      </c>
      <c r="H271" t="s">
        <v>414</v>
      </c>
      <c r="I271" t="s">
        <v>77</v>
      </c>
      <c r="J271" s="2">
        <v>339.12</v>
      </c>
      <c r="K271">
        <v>2</v>
      </c>
      <c r="L271" t="s">
        <v>78</v>
      </c>
      <c r="M271">
        <v>4</v>
      </c>
      <c r="N271">
        <v>4</v>
      </c>
      <c r="O271">
        <v>0</v>
      </c>
      <c r="P271" t="s">
        <v>79</v>
      </c>
      <c r="Q271" t="s">
        <v>80</v>
      </c>
      <c r="R271">
        <v>0</v>
      </c>
      <c r="S271">
        <v>5</v>
      </c>
      <c r="T271" t="s">
        <v>84</v>
      </c>
      <c r="U271" t="s">
        <v>90</v>
      </c>
      <c r="V271" t="s">
        <v>81</v>
      </c>
      <c r="W271" s="3">
        <v>45299</v>
      </c>
      <c r="X271" t="b">
        <v>0</v>
      </c>
      <c r="Y271" t="b">
        <v>0</v>
      </c>
      <c r="Z271" t="s">
        <v>92</v>
      </c>
      <c r="AA271" t="s">
        <v>71</v>
      </c>
      <c r="AB271">
        <v>1</v>
      </c>
      <c r="AO271" t="str">
        <f t="shared" si="15"/>
        <v>18-25</v>
      </c>
      <c r="BD271">
        <v>2</v>
      </c>
      <c r="BF271" cm="1">
        <f t="array" ref="BF271">CORREL(J271:J1271,S271:S1271)</f>
        <v>-0.037473114373582</v>
      </c>
      <c r="BH271">
        <v>5</v>
      </c>
      <c r="BI271">
        <f t="shared" si="16"/>
        <v>0.4</v>
      </c>
      <c r="BJ271">
        <f t="shared" si="17"/>
        <v>12.5</v>
      </c>
    </row>
    <row r="272" spans="1:62">
      <c r="A272" s="1">
        <v>172466194</v>
      </c>
      <c r="B272">
        <v>45</v>
      </c>
      <c r="C272" t="s">
        <v>175</v>
      </c>
      <c r="D272" t="s">
        <v>60</v>
      </c>
      <c r="E272" t="s">
        <v>103</v>
      </c>
      <c r="F272" t="s">
        <v>62</v>
      </c>
      <c r="G272" t="s">
        <v>74</v>
      </c>
      <c r="H272" t="s">
        <v>415</v>
      </c>
      <c r="I272" t="s">
        <v>209</v>
      </c>
      <c r="J272" s="2">
        <v>323.4</v>
      </c>
      <c r="K272">
        <v>11</v>
      </c>
      <c r="L272" t="s">
        <v>65</v>
      </c>
      <c r="M272">
        <v>2</v>
      </c>
      <c r="N272">
        <v>3</v>
      </c>
      <c r="O272">
        <v>2</v>
      </c>
      <c r="P272" t="s">
        <v>84</v>
      </c>
      <c r="Q272" t="s">
        <v>109</v>
      </c>
      <c r="R272">
        <v>0</v>
      </c>
      <c r="S272">
        <v>8</v>
      </c>
      <c r="T272" t="s">
        <v>66</v>
      </c>
      <c r="U272" t="s">
        <v>90</v>
      </c>
      <c r="V272" t="s">
        <v>69</v>
      </c>
      <c r="W272" s="3">
        <v>45350</v>
      </c>
      <c r="X272" t="b">
        <v>1</v>
      </c>
      <c r="Y272" t="b">
        <v>1</v>
      </c>
      <c r="Z272" t="s">
        <v>70</v>
      </c>
      <c r="AA272" t="s">
        <v>83</v>
      </c>
      <c r="AB272">
        <v>10</v>
      </c>
      <c r="AO272" t="str">
        <f t="shared" si="15"/>
        <v>41-60</v>
      </c>
      <c r="BD272">
        <v>11</v>
      </c>
      <c r="BF272" cm="1">
        <f t="array" ref="BF272">CORREL(J272:J1272,S272:S1272)</f>
        <v>-0.0373583042520606</v>
      </c>
      <c r="BH272">
        <v>8</v>
      </c>
      <c r="BI272">
        <f t="shared" si="16"/>
        <v>1.375</v>
      </c>
      <c r="BJ272">
        <f t="shared" si="17"/>
        <v>5.81818181818182</v>
      </c>
    </row>
    <row r="273" spans="1:62">
      <c r="A273" s="1">
        <v>266721285</v>
      </c>
      <c r="B273">
        <v>24</v>
      </c>
      <c r="C273" t="s">
        <v>150</v>
      </c>
      <c r="D273" t="s">
        <v>60</v>
      </c>
      <c r="E273" t="s">
        <v>61</v>
      </c>
      <c r="F273" t="s">
        <v>75</v>
      </c>
      <c r="G273" t="s">
        <v>60</v>
      </c>
      <c r="H273" t="s">
        <v>416</v>
      </c>
      <c r="I273" t="s">
        <v>171</v>
      </c>
      <c r="J273" s="2">
        <v>472.61</v>
      </c>
      <c r="K273">
        <v>9</v>
      </c>
      <c r="L273" t="s">
        <v>78</v>
      </c>
      <c r="M273">
        <v>5</v>
      </c>
      <c r="N273">
        <v>5</v>
      </c>
      <c r="O273">
        <v>2</v>
      </c>
      <c r="P273" t="s">
        <v>66</v>
      </c>
      <c r="Q273" t="s">
        <v>109</v>
      </c>
      <c r="R273">
        <v>1</v>
      </c>
      <c r="S273">
        <v>4</v>
      </c>
      <c r="T273" t="s">
        <v>66</v>
      </c>
      <c r="U273" t="s">
        <v>90</v>
      </c>
      <c r="V273" t="s">
        <v>81</v>
      </c>
      <c r="W273" s="3">
        <v>45550</v>
      </c>
      <c r="X273" t="b">
        <v>1</v>
      </c>
      <c r="Y273" t="b">
        <v>1</v>
      </c>
      <c r="Z273" t="s">
        <v>92</v>
      </c>
      <c r="AA273" t="s">
        <v>97</v>
      </c>
      <c r="AB273">
        <v>5</v>
      </c>
      <c r="AO273" t="str">
        <f t="shared" si="15"/>
        <v>18-25</v>
      </c>
      <c r="BD273">
        <v>9</v>
      </c>
      <c r="BF273" cm="1">
        <f t="array" ref="BF273">CORREL(J273:J1273,S273:S1273)</f>
        <v>-0.037776386489255</v>
      </c>
      <c r="BH273">
        <v>4</v>
      </c>
      <c r="BI273">
        <f t="shared" si="16"/>
        <v>2.25</v>
      </c>
      <c r="BJ273">
        <f t="shared" si="17"/>
        <v>1.77777777777778</v>
      </c>
    </row>
    <row r="274" spans="1:62">
      <c r="A274" s="4" t="s">
        <v>417</v>
      </c>
      <c r="B274">
        <v>20</v>
      </c>
      <c r="C274" t="s">
        <v>59</v>
      </c>
      <c r="D274" t="s">
        <v>60</v>
      </c>
      <c r="E274" t="s">
        <v>98</v>
      </c>
      <c r="F274" t="s">
        <v>75</v>
      </c>
      <c r="G274" t="s">
        <v>60</v>
      </c>
      <c r="H274" t="s">
        <v>418</v>
      </c>
      <c r="I274" t="s">
        <v>100</v>
      </c>
      <c r="J274" s="2">
        <v>68.02</v>
      </c>
      <c r="K274">
        <v>10</v>
      </c>
      <c r="L274" t="s">
        <v>85</v>
      </c>
      <c r="M274">
        <v>3</v>
      </c>
      <c r="N274">
        <v>2</v>
      </c>
      <c r="O274">
        <v>1</v>
      </c>
      <c r="P274" t="s">
        <v>66</v>
      </c>
      <c r="Q274" t="s">
        <v>109</v>
      </c>
      <c r="R274">
        <v>1</v>
      </c>
      <c r="S274">
        <v>6</v>
      </c>
      <c r="T274" t="s">
        <v>66</v>
      </c>
      <c r="U274" t="s">
        <v>68</v>
      </c>
      <c r="V274" t="s">
        <v>69</v>
      </c>
      <c r="W274" s="3">
        <v>45597</v>
      </c>
      <c r="X274" t="b">
        <v>1</v>
      </c>
      <c r="Y274" t="b">
        <v>1</v>
      </c>
      <c r="Z274" t="s">
        <v>70</v>
      </c>
      <c r="AA274" t="s">
        <v>97</v>
      </c>
      <c r="AB274">
        <v>6</v>
      </c>
      <c r="AO274" t="str">
        <f t="shared" si="15"/>
        <v>18-25</v>
      </c>
      <c r="BD274">
        <v>10</v>
      </c>
      <c r="BF274" cm="1">
        <f t="array" ref="BF274">CORREL(J274:J1274,S274:S1274)</f>
        <v>-0.0367398549709682</v>
      </c>
      <c r="BH274">
        <v>6</v>
      </c>
      <c r="BI274">
        <f t="shared" si="16"/>
        <v>1.66666666666667</v>
      </c>
      <c r="BJ274">
        <f t="shared" si="17"/>
        <v>3.6</v>
      </c>
    </row>
    <row r="275" spans="1:62">
      <c r="A275" s="1">
        <v>763973294</v>
      </c>
      <c r="B275">
        <v>27</v>
      </c>
      <c r="C275" t="s">
        <v>73</v>
      </c>
      <c r="D275" t="s">
        <v>74</v>
      </c>
      <c r="E275" t="s">
        <v>86</v>
      </c>
      <c r="F275" t="s">
        <v>87</v>
      </c>
      <c r="G275" t="s">
        <v>60</v>
      </c>
      <c r="H275" t="s">
        <v>419</v>
      </c>
      <c r="I275" t="s">
        <v>137</v>
      </c>
      <c r="J275" s="2">
        <v>199.44</v>
      </c>
      <c r="K275">
        <v>7</v>
      </c>
      <c r="L275" t="s">
        <v>85</v>
      </c>
      <c r="M275">
        <v>2</v>
      </c>
      <c r="N275">
        <v>1</v>
      </c>
      <c r="O275">
        <v>2</v>
      </c>
      <c r="P275" t="s">
        <v>66</v>
      </c>
      <c r="Q275" t="s">
        <v>109</v>
      </c>
      <c r="R275">
        <v>0</v>
      </c>
      <c r="S275">
        <v>3</v>
      </c>
      <c r="T275" t="s">
        <v>66</v>
      </c>
      <c r="U275" t="s">
        <v>68</v>
      </c>
      <c r="V275" t="s">
        <v>110</v>
      </c>
      <c r="W275" s="3">
        <v>45487</v>
      </c>
      <c r="X275" t="b">
        <v>0</v>
      </c>
      <c r="Y275" t="b">
        <v>1</v>
      </c>
      <c r="Z275" t="s">
        <v>70</v>
      </c>
      <c r="AA275" t="s">
        <v>83</v>
      </c>
      <c r="AB275">
        <v>1</v>
      </c>
      <c r="AO275" t="str">
        <f t="shared" si="15"/>
        <v>26-40</v>
      </c>
      <c r="BD275">
        <v>7</v>
      </c>
      <c r="BF275" cm="1">
        <f t="array" ref="BF275">CORREL(J275:J1275,S275:S1275)</f>
        <v>-0.0364584168827772</v>
      </c>
      <c r="BH275">
        <v>3</v>
      </c>
      <c r="BI275">
        <f t="shared" si="16"/>
        <v>2.33333333333333</v>
      </c>
      <c r="BJ275">
        <f t="shared" si="17"/>
        <v>1.28571428571429</v>
      </c>
    </row>
    <row r="276" spans="1:62">
      <c r="A276" s="1">
        <v>436128079</v>
      </c>
      <c r="B276">
        <v>47</v>
      </c>
      <c r="C276" t="s">
        <v>73</v>
      </c>
      <c r="D276" t="s">
        <v>74</v>
      </c>
      <c r="E276" t="s">
        <v>103</v>
      </c>
      <c r="F276" t="s">
        <v>75</v>
      </c>
      <c r="G276" t="s">
        <v>60</v>
      </c>
      <c r="H276" t="s">
        <v>420</v>
      </c>
      <c r="I276" t="s">
        <v>113</v>
      </c>
      <c r="J276" s="2">
        <v>250.73</v>
      </c>
      <c r="K276">
        <v>4</v>
      </c>
      <c r="L276" t="s">
        <v>85</v>
      </c>
      <c r="M276">
        <v>3</v>
      </c>
      <c r="N276">
        <v>2</v>
      </c>
      <c r="O276">
        <v>1</v>
      </c>
      <c r="P276" t="s">
        <v>84</v>
      </c>
      <c r="Q276" t="s">
        <v>67</v>
      </c>
      <c r="R276">
        <v>1</v>
      </c>
      <c r="S276">
        <v>10</v>
      </c>
      <c r="T276" t="s">
        <v>66</v>
      </c>
      <c r="U276" t="s">
        <v>105</v>
      </c>
      <c r="V276" t="s">
        <v>110</v>
      </c>
      <c r="W276" s="3">
        <v>45406</v>
      </c>
      <c r="X276" t="b">
        <v>0</v>
      </c>
      <c r="Y276" t="b">
        <v>1</v>
      </c>
      <c r="Z276" t="s">
        <v>102</v>
      </c>
      <c r="AA276" t="s">
        <v>71</v>
      </c>
      <c r="AB276">
        <v>10</v>
      </c>
      <c r="AO276" t="str">
        <f t="shared" si="15"/>
        <v>41-60</v>
      </c>
      <c r="BD276">
        <v>4</v>
      </c>
      <c r="BF276" cm="1">
        <f t="array" ref="BF276">CORREL(J276:J1276,S276:S1276)</f>
        <v>-0.0372357721042732</v>
      </c>
      <c r="BH276">
        <v>10</v>
      </c>
      <c r="BI276">
        <f t="shared" si="16"/>
        <v>0.4</v>
      </c>
      <c r="BJ276">
        <f t="shared" si="17"/>
        <v>25</v>
      </c>
    </row>
    <row r="277" spans="1:62">
      <c r="A277" s="1">
        <v>172132834</v>
      </c>
      <c r="B277">
        <v>34</v>
      </c>
      <c r="C277" t="s">
        <v>73</v>
      </c>
      <c r="D277" t="s">
        <v>60</v>
      </c>
      <c r="E277" t="s">
        <v>86</v>
      </c>
      <c r="F277" t="s">
        <v>75</v>
      </c>
      <c r="G277" t="s">
        <v>60</v>
      </c>
      <c r="H277" t="s">
        <v>421</v>
      </c>
      <c r="I277" t="s">
        <v>171</v>
      </c>
      <c r="J277" s="2">
        <v>372.49</v>
      </c>
      <c r="K277">
        <v>12</v>
      </c>
      <c r="L277" t="s">
        <v>85</v>
      </c>
      <c r="M277">
        <v>4</v>
      </c>
      <c r="N277">
        <v>3</v>
      </c>
      <c r="O277">
        <v>0</v>
      </c>
      <c r="P277" t="s">
        <v>74</v>
      </c>
      <c r="Q277" t="s">
        <v>109</v>
      </c>
      <c r="R277">
        <v>0</v>
      </c>
      <c r="S277">
        <v>5</v>
      </c>
      <c r="T277" t="s">
        <v>79</v>
      </c>
      <c r="U277" t="s">
        <v>105</v>
      </c>
      <c r="V277" t="s">
        <v>91</v>
      </c>
      <c r="W277" s="3">
        <v>45526</v>
      </c>
      <c r="X277" t="b">
        <v>1</v>
      </c>
      <c r="Y277" t="b">
        <v>0</v>
      </c>
      <c r="Z277" t="s">
        <v>102</v>
      </c>
      <c r="AA277" t="s">
        <v>71</v>
      </c>
      <c r="AB277">
        <v>7</v>
      </c>
      <c r="AO277" t="str">
        <f t="shared" si="15"/>
        <v>26-40</v>
      </c>
      <c r="BD277">
        <v>12</v>
      </c>
      <c r="BF277" cm="1">
        <f t="array" ref="BF277">CORREL(J277:J1277,S277:S1277)</f>
        <v>-0.0368325848954757</v>
      </c>
      <c r="BH277">
        <v>5</v>
      </c>
      <c r="BI277">
        <f t="shared" si="16"/>
        <v>2.4</v>
      </c>
      <c r="BJ277">
        <f t="shared" si="17"/>
        <v>2.08333333333333</v>
      </c>
    </row>
    <row r="278" spans="1:62">
      <c r="A278" s="1">
        <v>362141586</v>
      </c>
      <c r="B278">
        <v>41</v>
      </c>
      <c r="C278" t="s">
        <v>73</v>
      </c>
      <c r="D278" t="s">
        <v>74</v>
      </c>
      <c r="E278" t="s">
        <v>98</v>
      </c>
      <c r="F278" t="s">
        <v>75</v>
      </c>
      <c r="G278" t="s">
        <v>74</v>
      </c>
      <c r="H278" t="s">
        <v>422</v>
      </c>
      <c r="I278" t="s">
        <v>107</v>
      </c>
      <c r="J278" s="2">
        <v>186.85</v>
      </c>
      <c r="K278">
        <v>2</v>
      </c>
      <c r="L278" t="s">
        <v>85</v>
      </c>
      <c r="M278">
        <v>3</v>
      </c>
      <c r="N278">
        <v>1</v>
      </c>
      <c r="O278">
        <v>2</v>
      </c>
      <c r="P278" t="s">
        <v>74</v>
      </c>
      <c r="Q278" t="s">
        <v>80</v>
      </c>
      <c r="R278">
        <v>2</v>
      </c>
      <c r="S278">
        <v>8</v>
      </c>
      <c r="T278" t="s">
        <v>84</v>
      </c>
      <c r="U278" t="s">
        <v>90</v>
      </c>
      <c r="V278" t="s">
        <v>96</v>
      </c>
      <c r="W278" s="3">
        <v>45342</v>
      </c>
      <c r="X278" t="b">
        <v>1</v>
      </c>
      <c r="Y278" t="b">
        <v>0</v>
      </c>
      <c r="Z278" t="s">
        <v>92</v>
      </c>
      <c r="AA278" t="s">
        <v>97</v>
      </c>
      <c r="AB278">
        <v>12</v>
      </c>
      <c r="AO278" t="str">
        <f t="shared" si="15"/>
        <v>41-60</v>
      </c>
      <c r="BD278">
        <v>2</v>
      </c>
      <c r="BF278" cm="1">
        <f t="array" ref="BF278">CORREL(J278:J1278,S278:S1278)</f>
        <v>-0.0366577015286372</v>
      </c>
      <c r="BH278">
        <v>8</v>
      </c>
      <c r="BI278">
        <f t="shared" si="16"/>
        <v>0.25</v>
      </c>
      <c r="BJ278">
        <f t="shared" si="17"/>
        <v>32</v>
      </c>
    </row>
    <row r="279" spans="1:62">
      <c r="A279" s="1">
        <v>324141466</v>
      </c>
      <c r="B279">
        <v>26</v>
      </c>
      <c r="C279" t="s">
        <v>73</v>
      </c>
      <c r="D279" t="s">
        <v>74</v>
      </c>
      <c r="E279" t="s">
        <v>98</v>
      </c>
      <c r="F279" t="s">
        <v>87</v>
      </c>
      <c r="G279" t="s">
        <v>60</v>
      </c>
      <c r="H279" t="s">
        <v>423</v>
      </c>
      <c r="I279" t="s">
        <v>113</v>
      </c>
      <c r="J279" s="2">
        <v>73.32</v>
      </c>
      <c r="K279">
        <v>10</v>
      </c>
      <c r="L279" t="s">
        <v>78</v>
      </c>
      <c r="M279">
        <v>5</v>
      </c>
      <c r="N279">
        <v>1</v>
      </c>
      <c r="O279">
        <v>1</v>
      </c>
      <c r="P279" t="s">
        <v>66</v>
      </c>
      <c r="Q279" t="s">
        <v>80</v>
      </c>
      <c r="R279">
        <v>1</v>
      </c>
      <c r="S279">
        <v>1</v>
      </c>
      <c r="T279" t="s">
        <v>79</v>
      </c>
      <c r="U279" t="s">
        <v>90</v>
      </c>
      <c r="V279" t="s">
        <v>91</v>
      </c>
      <c r="W279" s="3">
        <v>45318</v>
      </c>
      <c r="X279" t="b">
        <v>1</v>
      </c>
      <c r="Y279" t="b">
        <v>0</v>
      </c>
      <c r="Z279" t="s">
        <v>82</v>
      </c>
      <c r="AA279" t="s">
        <v>83</v>
      </c>
      <c r="AB279">
        <v>14</v>
      </c>
      <c r="AO279" t="str">
        <f t="shared" si="15"/>
        <v>26-40</v>
      </c>
      <c r="BD279">
        <v>10</v>
      </c>
      <c r="BF279" cm="1">
        <f t="array" ref="BF279">CORREL(J279:J1279,S279:S1279)</f>
        <v>-0.0358545690837398</v>
      </c>
      <c r="BH279">
        <v>1</v>
      </c>
      <c r="BI279">
        <f t="shared" si="16"/>
        <v>10</v>
      </c>
      <c r="BJ279">
        <f t="shared" si="17"/>
        <v>0.1</v>
      </c>
    </row>
    <row r="280" spans="1:62">
      <c r="A280" s="1">
        <v>126996543</v>
      </c>
      <c r="B280">
        <v>49</v>
      </c>
      <c r="C280" t="s">
        <v>73</v>
      </c>
      <c r="D280" t="s">
        <v>60</v>
      </c>
      <c r="E280" t="s">
        <v>98</v>
      </c>
      <c r="F280" t="s">
        <v>62</v>
      </c>
      <c r="G280" t="s">
        <v>60</v>
      </c>
      <c r="H280" t="s">
        <v>424</v>
      </c>
      <c r="I280" t="s">
        <v>171</v>
      </c>
      <c r="J280" s="2">
        <v>214.59</v>
      </c>
      <c r="K280">
        <v>6</v>
      </c>
      <c r="L280" t="s">
        <v>85</v>
      </c>
      <c r="M280">
        <v>1</v>
      </c>
      <c r="N280">
        <v>1</v>
      </c>
      <c r="O280">
        <v>0</v>
      </c>
      <c r="P280" t="s">
        <v>66</v>
      </c>
      <c r="Q280" t="s">
        <v>67</v>
      </c>
      <c r="R280">
        <v>1</v>
      </c>
      <c r="S280">
        <v>8</v>
      </c>
      <c r="T280" t="s">
        <v>84</v>
      </c>
      <c r="U280" t="s">
        <v>68</v>
      </c>
      <c r="V280" t="s">
        <v>96</v>
      </c>
      <c r="W280" s="3">
        <v>45331</v>
      </c>
      <c r="X280" t="b">
        <v>1</v>
      </c>
      <c r="Y280" t="b">
        <v>0</v>
      </c>
      <c r="Z280" t="s">
        <v>82</v>
      </c>
      <c r="AA280" t="s">
        <v>83</v>
      </c>
      <c r="AB280">
        <v>9</v>
      </c>
      <c r="AO280" t="str">
        <f t="shared" si="15"/>
        <v>41-60</v>
      </c>
      <c r="BD280">
        <v>6</v>
      </c>
      <c r="BF280" cm="1">
        <f t="array" ref="BF280">CORREL(J280:J1280,S280:S1280)</f>
        <v>-0.0394450664618812</v>
      </c>
      <c r="BH280">
        <v>8</v>
      </c>
      <c r="BI280">
        <f t="shared" si="16"/>
        <v>0.75</v>
      </c>
      <c r="BJ280">
        <f t="shared" si="17"/>
        <v>10.6666666666667</v>
      </c>
    </row>
    <row r="281" spans="1:62">
      <c r="A281" s="1">
        <v>834273218</v>
      </c>
      <c r="B281">
        <v>47</v>
      </c>
      <c r="C281" t="s">
        <v>59</v>
      </c>
      <c r="D281" t="s">
        <v>60</v>
      </c>
      <c r="E281" t="s">
        <v>98</v>
      </c>
      <c r="F281" t="s">
        <v>75</v>
      </c>
      <c r="G281" t="s">
        <v>60</v>
      </c>
      <c r="H281" t="s">
        <v>425</v>
      </c>
      <c r="I281" t="s">
        <v>100</v>
      </c>
      <c r="J281" s="2">
        <v>467.32</v>
      </c>
      <c r="K281">
        <v>12</v>
      </c>
      <c r="L281" t="s">
        <v>78</v>
      </c>
      <c r="M281">
        <v>4</v>
      </c>
      <c r="N281">
        <v>4</v>
      </c>
      <c r="O281">
        <v>2</v>
      </c>
      <c r="P281" t="s">
        <v>79</v>
      </c>
      <c r="Q281" t="s">
        <v>67</v>
      </c>
      <c r="R281">
        <v>2</v>
      </c>
      <c r="S281">
        <v>4</v>
      </c>
      <c r="T281" t="s">
        <v>84</v>
      </c>
      <c r="U281" t="s">
        <v>90</v>
      </c>
      <c r="V281" t="s">
        <v>81</v>
      </c>
      <c r="W281" s="3">
        <v>45319</v>
      </c>
      <c r="X281" t="b">
        <v>0</v>
      </c>
      <c r="Y281" t="b">
        <v>1</v>
      </c>
      <c r="Z281" t="s">
        <v>70</v>
      </c>
      <c r="AA281" t="s">
        <v>71</v>
      </c>
      <c r="AB281">
        <v>11</v>
      </c>
      <c r="AO281" t="str">
        <f t="shared" si="15"/>
        <v>41-60</v>
      </c>
      <c r="BD281">
        <v>12</v>
      </c>
      <c r="BF281" cm="1">
        <f t="array" ref="BF281">CORREL(J281:J1281,S281:S1281)</f>
        <v>-0.0388828754643013</v>
      </c>
      <c r="BH281">
        <v>4</v>
      </c>
      <c r="BI281">
        <f t="shared" si="16"/>
        <v>3</v>
      </c>
      <c r="BJ281">
        <f t="shared" si="17"/>
        <v>1.33333333333333</v>
      </c>
    </row>
    <row r="282" spans="1:62">
      <c r="A282" s="1">
        <v>616639008</v>
      </c>
      <c r="B282">
        <v>18</v>
      </c>
      <c r="C282" t="s">
        <v>73</v>
      </c>
      <c r="D282" t="s">
        <v>60</v>
      </c>
      <c r="E282" t="s">
        <v>61</v>
      </c>
      <c r="F282" t="s">
        <v>87</v>
      </c>
      <c r="G282" t="s">
        <v>60</v>
      </c>
      <c r="H282" t="s">
        <v>426</v>
      </c>
      <c r="I282" t="s">
        <v>178</v>
      </c>
      <c r="J282" s="2">
        <v>475.65</v>
      </c>
      <c r="K282">
        <v>4</v>
      </c>
      <c r="L282" t="s">
        <v>78</v>
      </c>
      <c r="M282">
        <v>4</v>
      </c>
      <c r="N282">
        <v>5</v>
      </c>
      <c r="O282">
        <v>0</v>
      </c>
      <c r="P282" t="s">
        <v>74</v>
      </c>
      <c r="Q282" t="s">
        <v>67</v>
      </c>
      <c r="R282">
        <v>2</v>
      </c>
      <c r="S282">
        <v>6</v>
      </c>
      <c r="T282" t="s">
        <v>84</v>
      </c>
      <c r="U282" t="s">
        <v>90</v>
      </c>
      <c r="V282" t="s">
        <v>81</v>
      </c>
      <c r="W282" s="3">
        <v>45466</v>
      </c>
      <c r="X282" t="b">
        <v>1</v>
      </c>
      <c r="Y282" t="b">
        <v>1</v>
      </c>
      <c r="Z282" t="s">
        <v>82</v>
      </c>
      <c r="AA282" t="s">
        <v>97</v>
      </c>
      <c r="AB282">
        <v>14</v>
      </c>
      <c r="AO282" t="str">
        <f t="shared" si="15"/>
        <v>18-25</v>
      </c>
      <c r="BD282">
        <v>4</v>
      </c>
      <c r="BF282" cm="1">
        <f t="array" ref="BF282">CORREL(J282:J1282,S282:S1282)</f>
        <v>-0.0378671655541075</v>
      </c>
      <c r="BH282">
        <v>6</v>
      </c>
      <c r="BI282">
        <f t="shared" si="16"/>
        <v>0.666666666666667</v>
      </c>
      <c r="BJ282">
        <f t="shared" si="17"/>
        <v>9</v>
      </c>
    </row>
    <row r="283" spans="1:62">
      <c r="A283" s="1">
        <v>869177481</v>
      </c>
      <c r="B283">
        <v>48</v>
      </c>
      <c r="C283" t="s">
        <v>59</v>
      </c>
      <c r="D283" t="s">
        <v>60</v>
      </c>
      <c r="E283" t="s">
        <v>98</v>
      </c>
      <c r="F283" t="s">
        <v>87</v>
      </c>
      <c r="G283" t="s">
        <v>74</v>
      </c>
      <c r="H283" t="s">
        <v>427</v>
      </c>
      <c r="I283" t="s">
        <v>120</v>
      </c>
      <c r="J283" s="2">
        <v>161.38</v>
      </c>
      <c r="K283">
        <v>11</v>
      </c>
      <c r="L283" t="s">
        <v>65</v>
      </c>
      <c r="M283">
        <v>5</v>
      </c>
      <c r="N283">
        <v>3</v>
      </c>
      <c r="O283">
        <v>0</v>
      </c>
      <c r="P283" t="s">
        <v>66</v>
      </c>
      <c r="Q283" t="s">
        <v>109</v>
      </c>
      <c r="R283">
        <v>1</v>
      </c>
      <c r="S283">
        <v>10</v>
      </c>
      <c r="T283" t="s">
        <v>74</v>
      </c>
      <c r="U283" t="s">
        <v>68</v>
      </c>
      <c r="V283" t="s">
        <v>91</v>
      </c>
      <c r="W283" s="3">
        <v>45524</v>
      </c>
      <c r="X283" t="b">
        <v>1</v>
      </c>
      <c r="Y283" t="b">
        <v>1</v>
      </c>
      <c r="Z283" t="s">
        <v>92</v>
      </c>
      <c r="AA283" t="s">
        <v>83</v>
      </c>
      <c r="AB283">
        <v>10</v>
      </c>
      <c r="AO283" t="str">
        <f t="shared" si="15"/>
        <v>41-60</v>
      </c>
      <c r="BD283">
        <v>11</v>
      </c>
      <c r="BF283" cm="1">
        <f t="array" ref="BF283">CORREL(J283:J1283,S283:S1283)</f>
        <v>-0.0382535944147239</v>
      </c>
      <c r="BH283">
        <v>10</v>
      </c>
      <c r="BI283">
        <f t="shared" si="16"/>
        <v>1.1</v>
      </c>
      <c r="BJ283">
        <f t="shared" si="17"/>
        <v>9.09090909090909</v>
      </c>
    </row>
    <row r="284" spans="1:62">
      <c r="A284" s="1">
        <v>660862306</v>
      </c>
      <c r="B284">
        <v>19</v>
      </c>
      <c r="C284" t="s">
        <v>73</v>
      </c>
      <c r="D284" t="s">
        <v>60</v>
      </c>
      <c r="E284" t="s">
        <v>86</v>
      </c>
      <c r="F284" t="s">
        <v>62</v>
      </c>
      <c r="G284" t="s">
        <v>60</v>
      </c>
      <c r="H284" t="s">
        <v>428</v>
      </c>
      <c r="I284" t="s">
        <v>135</v>
      </c>
      <c r="J284" s="2">
        <v>249.78</v>
      </c>
      <c r="K284">
        <v>4</v>
      </c>
      <c r="L284" t="s">
        <v>78</v>
      </c>
      <c r="M284">
        <v>5</v>
      </c>
      <c r="N284">
        <v>4</v>
      </c>
      <c r="O284">
        <v>0</v>
      </c>
      <c r="P284" t="s">
        <v>84</v>
      </c>
      <c r="Q284" t="s">
        <v>109</v>
      </c>
      <c r="R284">
        <v>0</v>
      </c>
      <c r="S284">
        <v>1</v>
      </c>
      <c r="T284" t="s">
        <v>66</v>
      </c>
      <c r="U284" t="s">
        <v>105</v>
      </c>
      <c r="V284" t="s">
        <v>81</v>
      </c>
      <c r="W284" s="3">
        <v>45620</v>
      </c>
      <c r="X284" t="b">
        <v>0</v>
      </c>
      <c r="Y284" t="b">
        <v>0</v>
      </c>
      <c r="Z284" t="s">
        <v>82</v>
      </c>
      <c r="AA284" t="s">
        <v>71</v>
      </c>
      <c r="AB284">
        <v>11</v>
      </c>
      <c r="AO284" t="str">
        <f t="shared" ref="AO284:AO347" si="18">IF(B284&lt;=25,"18-25",IF(B284&lt;=40,"26-40",IF(B284&lt;=60,"41-60","Above60")))</f>
        <v>18-25</v>
      </c>
      <c r="BD284">
        <v>4</v>
      </c>
      <c r="BF284" cm="1">
        <f t="array" ref="BF284">CORREL(J284:J1284,S284:S1284)</f>
        <v>-0.0363889229732809</v>
      </c>
      <c r="BH284">
        <v>1</v>
      </c>
      <c r="BI284">
        <f t="shared" si="16"/>
        <v>4</v>
      </c>
      <c r="BJ284">
        <f t="shared" si="17"/>
        <v>0.25</v>
      </c>
    </row>
    <row r="285" spans="1:62">
      <c r="A285" s="1">
        <v>436719834</v>
      </c>
      <c r="B285">
        <v>39</v>
      </c>
      <c r="C285" t="s">
        <v>59</v>
      </c>
      <c r="D285" t="s">
        <v>60</v>
      </c>
      <c r="E285" t="s">
        <v>103</v>
      </c>
      <c r="F285" t="s">
        <v>75</v>
      </c>
      <c r="G285" t="s">
        <v>74</v>
      </c>
      <c r="H285" t="s">
        <v>429</v>
      </c>
      <c r="I285" t="s">
        <v>171</v>
      </c>
      <c r="J285" s="2">
        <v>149.88</v>
      </c>
      <c r="K285">
        <v>9</v>
      </c>
      <c r="L285" t="s">
        <v>65</v>
      </c>
      <c r="M285">
        <v>3</v>
      </c>
      <c r="N285">
        <v>2</v>
      </c>
      <c r="O285">
        <v>0</v>
      </c>
      <c r="P285" t="s">
        <v>84</v>
      </c>
      <c r="Q285" t="s">
        <v>67</v>
      </c>
      <c r="R285">
        <v>1</v>
      </c>
      <c r="S285">
        <v>10</v>
      </c>
      <c r="T285" t="s">
        <v>84</v>
      </c>
      <c r="U285" t="s">
        <v>90</v>
      </c>
      <c r="V285" t="s">
        <v>91</v>
      </c>
      <c r="W285" s="3">
        <v>45401</v>
      </c>
      <c r="X285" t="b">
        <v>0</v>
      </c>
      <c r="Y285" t="b">
        <v>0</v>
      </c>
      <c r="Z285" t="s">
        <v>92</v>
      </c>
      <c r="AA285" t="s">
        <v>83</v>
      </c>
      <c r="AB285">
        <v>4</v>
      </c>
      <c r="AO285" t="str">
        <f t="shared" si="18"/>
        <v>26-40</v>
      </c>
      <c r="BD285">
        <v>9</v>
      </c>
      <c r="BF285" cm="1">
        <f t="array" ref="BF285">CORREL(J285:J1285,S285:S1285)</f>
        <v>-0.0369555540039778</v>
      </c>
      <c r="BH285">
        <v>10</v>
      </c>
      <c r="BI285">
        <f t="shared" si="16"/>
        <v>0.9</v>
      </c>
      <c r="BJ285">
        <f t="shared" si="17"/>
        <v>11.1111111111111</v>
      </c>
    </row>
    <row r="286" spans="1:62">
      <c r="A286" s="1">
        <v>908888726</v>
      </c>
      <c r="B286">
        <v>48</v>
      </c>
      <c r="C286" t="s">
        <v>59</v>
      </c>
      <c r="D286" t="s">
        <v>74</v>
      </c>
      <c r="E286" t="s">
        <v>103</v>
      </c>
      <c r="F286" t="s">
        <v>87</v>
      </c>
      <c r="G286" t="s">
        <v>60</v>
      </c>
      <c r="H286" t="s">
        <v>430</v>
      </c>
      <c r="I286" t="s">
        <v>209</v>
      </c>
      <c r="J286" s="2">
        <v>347.09</v>
      </c>
      <c r="K286">
        <v>5</v>
      </c>
      <c r="L286" t="s">
        <v>78</v>
      </c>
      <c r="M286">
        <v>5</v>
      </c>
      <c r="N286">
        <v>2</v>
      </c>
      <c r="O286">
        <v>0</v>
      </c>
      <c r="P286" t="s">
        <v>79</v>
      </c>
      <c r="Q286" t="s">
        <v>67</v>
      </c>
      <c r="R286">
        <v>2</v>
      </c>
      <c r="S286">
        <v>1</v>
      </c>
      <c r="T286" t="s">
        <v>66</v>
      </c>
      <c r="U286" t="s">
        <v>90</v>
      </c>
      <c r="V286" t="s">
        <v>96</v>
      </c>
      <c r="W286" s="3">
        <v>45317</v>
      </c>
      <c r="X286" t="b">
        <v>0</v>
      </c>
      <c r="Y286" t="b">
        <v>0</v>
      </c>
      <c r="Z286" t="s">
        <v>102</v>
      </c>
      <c r="AA286" t="s">
        <v>71</v>
      </c>
      <c r="AB286">
        <v>7</v>
      </c>
      <c r="AO286" t="str">
        <f t="shared" si="18"/>
        <v>41-60</v>
      </c>
      <c r="BD286">
        <v>5</v>
      </c>
      <c r="BF286" cm="1">
        <f t="array" ref="BF286">CORREL(J286:J1286,S286:S1286)</f>
        <v>-0.0348897923804632</v>
      </c>
      <c r="BH286">
        <v>1</v>
      </c>
      <c r="BI286">
        <f t="shared" si="16"/>
        <v>5</v>
      </c>
      <c r="BJ286">
        <f t="shared" si="17"/>
        <v>0.2</v>
      </c>
    </row>
    <row r="287" spans="1:62">
      <c r="A287" s="1">
        <v>230850811</v>
      </c>
      <c r="B287">
        <v>43</v>
      </c>
      <c r="C287" t="s">
        <v>59</v>
      </c>
      <c r="D287" t="s">
        <v>74</v>
      </c>
      <c r="E287" t="s">
        <v>98</v>
      </c>
      <c r="F287" t="s">
        <v>87</v>
      </c>
      <c r="G287" t="s">
        <v>74</v>
      </c>
      <c r="H287" t="s">
        <v>431</v>
      </c>
      <c r="I287" t="s">
        <v>122</v>
      </c>
      <c r="J287" s="2">
        <v>345.49</v>
      </c>
      <c r="K287">
        <v>9</v>
      </c>
      <c r="L287" t="s">
        <v>65</v>
      </c>
      <c r="M287">
        <v>3</v>
      </c>
      <c r="N287">
        <v>1</v>
      </c>
      <c r="O287">
        <v>2</v>
      </c>
      <c r="P287" t="s">
        <v>74</v>
      </c>
      <c r="Q287" t="s">
        <v>80</v>
      </c>
      <c r="R287">
        <v>0</v>
      </c>
      <c r="S287">
        <v>10</v>
      </c>
      <c r="T287" t="s">
        <v>79</v>
      </c>
      <c r="U287" t="s">
        <v>68</v>
      </c>
      <c r="V287" t="s">
        <v>81</v>
      </c>
      <c r="W287" s="3">
        <v>45541</v>
      </c>
      <c r="X287" t="b">
        <v>1</v>
      </c>
      <c r="Y287" t="b">
        <v>0</v>
      </c>
      <c r="Z287" t="s">
        <v>92</v>
      </c>
      <c r="AA287" t="s">
        <v>97</v>
      </c>
      <c r="AB287">
        <v>3</v>
      </c>
      <c r="AO287" t="str">
        <f t="shared" si="18"/>
        <v>41-60</v>
      </c>
      <c r="BD287">
        <v>9</v>
      </c>
      <c r="BF287" cm="1">
        <f t="array" ref="BF287">CORREL(J287:J1287,S287:S1287)</f>
        <v>-0.0338080459144183</v>
      </c>
      <c r="BH287">
        <v>10</v>
      </c>
      <c r="BI287">
        <f t="shared" si="16"/>
        <v>0.9</v>
      </c>
      <c r="BJ287">
        <f t="shared" si="17"/>
        <v>11.1111111111111</v>
      </c>
    </row>
    <row r="288" spans="1:62">
      <c r="A288" s="1">
        <v>851929218</v>
      </c>
      <c r="B288">
        <v>31</v>
      </c>
      <c r="C288" t="s">
        <v>59</v>
      </c>
      <c r="D288" t="s">
        <v>74</v>
      </c>
      <c r="E288" t="s">
        <v>103</v>
      </c>
      <c r="F288" t="s">
        <v>62</v>
      </c>
      <c r="G288" t="s">
        <v>74</v>
      </c>
      <c r="H288" t="s">
        <v>432</v>
      </c>
      <c r="I288" t="s">
        <v>122</v>
      </c>
      <c r="J288" s="2">
        <v>297.24</v>
      </c>
      <c r="K288">
        <v>2</v>
      </c>
      <c r="L288" t="s">
        <v>65</v>
      </c>
      <c r="M288">
        <v>1</v>
      </c>
      <c r="N288">
        <v>4</v>
      </c>
      <c r="O288">
        <v>0</v>
      </c>
      <c r="P288" t="s">
        <v>79</v>
      </c>
      <c r="Q288" t="s">
        <v>80</v>
      </c>
      <c r="R288">
        <v>0</v>
      </c>
      <c r="S288">
        <v>9</v>
      </c>
      <c r="T288" t="s">
        <v>74</v>
      </c>
      <c r="U288" t="s">
        <v>105</v>
      </c>
      <c r="V288" t="s">
        <v>81</v>
      </c>
      <c r="W288" s="3">
        <v>45472</v>
      </c>
      <c r="X288" t="b">
        <v>1</v>
      </c>
      <c r="Y288" t="b">
        <v>1</v>
      </c>
      <c r="Z288" t="s">
        <v>102</v>
      </c>
      <c r="AA288" t="s">
        <v>97</v>
      </c>
      <c r="AB288">
        <v>7</v>
      </c>
      <c r="AO288" t="str">
        <f t="shared" si="18"/>
        <v>26-40</v>
      </c>
      <c r="BD288">
        <v>2</v>
      </c>
      <c r="BF288" cm="1">
        <f t="array" ref="BF288">CORREL(J288:J1288,S288:S1288)</f>
        <v>-0.0349759648705991</v>
      </c>
      <c r="BH288">
        <v>9</v>
      </c>
      <c r="BI288">
        <f t="shared" si="16"/>
        <v>0.222222222222222</v>
      </c>
      <c r="BJ288">
        <f t="shared" si="17"/>
        <v>40.5</v>
      </c>
    </row>
    <row r="289" spans="1:62">
      <c r="A289" s="1">
        <v>826717236</v>
      </c>
      <c r="B289">
        <v>28</v>
      </c>
      <c r="C289" t="s">
        <v>59</v>
      </c>
      <c r="D289" t="s">
        <v>60</v>
      </c>
      <c r="E289" t="s">
        <v>103</v>
      </c>
      <c r="F289" t="s">
        <v>62</v>
      </c>
      <c r="G289" t="s">
        <v>74</v>
      </c>
      <c r="H289" t="s">
        <v>433</v>
      </c>
      <c r="I289" t="s">
        <v>95</v>
      </c>
      <c r="J289" s="2">
        <v>494.34</v>
      </c>
      <c r="K289">
        <v>12</v>
      </c>
      <c r="L289" t="s">
        <v>85</v>
      </c>
      <c r="M289">
        <v>5</v>
      </c>
      <c r="N289">
        <v>3</v>
      </c>
      <c r="O289">
        <v>0.25</v>
      </c>
      <c r="P289" t="s">
        <v>74</v>
      </c>
      <c r="Q289" t="s">
        <v>109</v>
      </c>
      <c r="R289">
        <v>1</v>
      </c>
      <c r="S289">
        <v>8</v>
      </c>
      <c r="T289" t="s">
        <v>84</v>
      </c>
      <c r="U289" t="s">
        <v>105</v>
      </c>
      <c r="V289" t="s">
        <v>91</v>
      </c>
      <c r="W289" s="3">
        <v>45354</v>
      </c>
      <c r="X289" t="b">
        <v>0</v>
      </c>
      <c r="Y289" t="b">
        <v>0</v>
      </c>
      <c r="Z289" t="s">
        <v>82</v>
      </c>
      <c r="AA289" t="s">
        <v>97</v>
      </c>
      <c r="AB289">
        <v>3</v>
      </c>
      <c r="AO289" t="str">
        <f t="shared" si="18"/>
        <v>26-40</v>
      </c>
      <c r="BD289">
        <v>12</v>
      </c>
      <c r="BF289" cm="1">
        <f t="array" ref="BF289">CORREL(J289:J1289,S289:S1289)</f>
        <v>-0.0352455097478549</v>
      </c>
      <c r="BH289">
        <v>8</v>
      </c>
      <c r="BI289">
        <f t="shared" si="16"/>
        <v>1.5</v>
      </c>
      <c r="BJ289">
        <f t="shared" si="17"/>
        <v>5.33333333333333</v>
      </c>
    </row>
    <row r="290" spans="1:62">
      <c r="A290" s="1">
        <v>426743987</v>
      </c>
      <c r="B290">
        <v>29</v>
      </c>
      <c r="C290" t="s">
        <v>268</v>
      </c>
      <c r="D290" t="s">
        <v>60</v>
      </c>
      <c r="E290" t="s">
        <v>61</v>
      </c>
      <c r="F290" t="s">
        <v>87</v>
      </c>
      <c r="G290" t="s">
        <v>74</v>
      </c>
      <c r="H290" t="s">
        <v>434</v>
      </c>
      <c r="I290" t="s">
        <v>120</v>
      </c>
      <c r="J290" s="2">
        <v>443.52</v>
      </c>
      <c r="K290">
        <v>5</v>
      </c>
      <c r="L290" t="s">
        <v>78</v>
      </c>
      <c r="M290">
        <v>5</v>
      </c>
      <c r="N290">
        <v>3</v>
      </c>
      <c r="O290">
        <v>0</v>
      </c>
      <c r="P290" t="s">
        <v>66</v>
      </c>
      <c r="Q290" t="s">
        <v>67</v>
      </c>
      <c r="R290">
        <v>0</v>
      </c>
      <c r="S290">
        <v>7</v>
      </c>
      <c r="T290" t="s">
        <v>84</v>
      </c>
      <c r="U290" t="s">
        <v>68</v>
      </c>
      <c r="V290" t="s">
        <v>110</v>
      </c>
      <c r="W290" s="3">
        <v>45422</v>
      </c>
      <c r="X290" t="b">
        <v>1</v>
      </c>
      <c r="Y290" t="b">
        <v>0</v>
      </c>
      <c r="Z290" t="s">
        <v>70</v>
      </c>
      <c r="AA290" t="s">
        <v>83</v>
      </c>
      <c r="AB290">
        <v>9</v>
      </c>
      <c r="AO290" t="str">
        <f t="shared" si="18"/>
        <v>26-40</v>
      </c>
      <c r="BD290">
        <v>5</v>
      </c>
      <c r="BF290" cm="1">
        <f t="array" ref="BF290">CORREL(J290:J1290,S290:S1290)</f>
        <v>-0.0373232277682477</v>
      </c>
      <c r="BH290">
        <v>7</v>
      </c>
      <c r="BI290">
        <f t="shared" si="16"/>
        <v>0.714285714285714</v>
      </c>
      <c r="BJ290">
        <f t="shared" si="17"/>
        <v>9.8</v>
      </c>
    </row>
    <row r="291" spans="1:62">
      <c r="A291" s="1">
        <v>419347739</v>
      </c>
      <c r="B291">
        <v>45</v>
      </c>
      <c r="C291" t="s">
        <v>150</v>
      </c>
      <c r="D291" t="s">
        <v>60</v>
      </c>
      <c r="E291" t="s">
        <v>103</v>
      </c>
      <c r="F291" t="s">
        <v>75</v>
      </c>
      <c r="G291" t="s">
        <v>74</v>
      </c>
      <c r="H291" t="s">
        <v>435</v>
      </c>
      <c r="I291" t="s">
        <v>209</v>
      </c>
      <c r="J291" s="2">
        <v>457.18</v>
      </c>
      <c r="K291">
        <v>7</v>
      </c>
      <c r="L291" t="s">
        <v>78</v>
      </c>
      <c r="M291">
        <v>4</v>
      </c>
      <c r="N291">
        <v>3</v>
      </c>
      <c r="O291">
        <v>2</v>
      </c>
      <c r="P291" t="s">
        <v>74</v>
      </c>
      <c r="Q291" t="s">
        <v>109</v>
      </c>
      <c r="R291">
        <v>2</v>
      </c>
      <c r="S291">
        <v>6</v>
      </c>
      <c r="T291" t="s">
        <v>79</v>
      </c>
      <c r="U291" t="s">
        <v>90</v>
      </c>
      <c r="V291" t="s">
        <v>96</v>
      </c>
      <c r="W291" s="3">
        <v>45524</v>
      </c>
      <c r="X291" t="b">
        <v>1</v>
      </c>
      <c r="Y291" t="b">
        <v>1</v>
      </c>
      <c r="Z291" t="s">
        <v>82</v>
      </c>
      <c r="AA291" t="s">
        <v>97</v>
      </c>
      <c r="AB291">
        <v>10</v>
      </c>
      <c r="AO291" t="str">
        <f t="shared" si="18"/>
        <v>41-60</v>
      </c>
      <c r="BD291">
        <v>7</v>
      </c>
      <c r="BF291" cm="1">
        <f t="array" ref="BF291">CORREL(J291:J1291,S291:S1291)</f>
        <v>-0.0382795237221813</v>
      </c>
      <c r="BH291">
        <v>6</v>
      </c>
      <c r="BI291">
        <f t="shared" si="16"/>
        <v>1.16666666666667</v>
      </c>
      <c r="BJ291">
        <f t="shared" si="17"/>
        <v>5.14285714285714</v>
      </c>
    </row>
    <row r="292" spans="1:62">
      <c r="A292" s="1">
        <v>488250400</v>
      </c>
      <c r="B292">
        <v>38</v>
      </c>
      <c r="C292" t="s">
        <v>73</v>
      </c>
      <c r="D292" t="s">
        <v>60</v>
      </c>
      <c r="E292" t="s">
        <v>86</v>
      </c>
      <c r="F292" t="s">
        <v>87</v>
      </c>
      <c r="G292" t="s">
        <v>74</v>
      </c>
      <c r="H292" t="s">
        <v>436</v>
      </c>
      <c r="I292" t="s">
        <v>107</v>
      </c>
      <c r="J292" s="2">
        <v>407.88</v>
      </c>
      <c r="K292">
        <v>4</v>
      </c>
      <c r="L292" t="s">
        <v>78</v>
      </c>
      <c r="M292">
        <v>1</v>
      </c>
      <c r="N292">
        <v>3</v>
      </c>
      <c r="O292">
        <v>1</v>
      </c>
      <c r="P292" t="s">
        <v>66</v>
      </c>
      <c r="Q292" t="s">
        <v>109</v>
      </c>
      <c r="R292">
        <v>1</v>
      </c>
      <c r="S292">
        <v>10</v>
      </c>
      <c r="T292" t="s">
        <v>79</v>
      </c>
      <c r="U292" t="s">
        <v>68</v>
      </c>
      <c r="V292" t="s">
        <v>110</v>
      </c>
      <c r="W292" s="3">
        <v>45607</v>
      </c>
      <c r="X292" t="b">
        <v>0</v>
      </c>
      <c r="Y292" t="b">
        <v>0</v>
      </c>
      <c r="Z292" t="s">
        <v>102</v>
      </c>
      <c r="AA292" t="s">
        <v>83</v>
      </c>
      <c r="AB292">
        <v>14</v>
      </c>
      <c r="AO292" t="str">
        <f t="shared" si="18"/>
        <v>26-40</v>
      </c>
      <c r="BD292">
        <v>4</v>
      </c>
      <c r="BF292" cm="1">
        <f t="array" ref="BF292">CORREL(J292:J1292,S292:S1292)</f>
        <v>-0.0386435653036848</v>
      </c>
      <c r="BH292">
        <v>10</v>
      </c>
      <c r="BI292">
        <f t="shared" si="16"/>
        <v>0.4</v>
      </c>
      <c r="BJ292">
        <f t="shared" si="17"/>
        <v>25</v>
      </c>
    </row>
    <row r="293" spans="1:62">
      <c r="A293" s="1">
        <v>301335120</v>
      </c>
      <c r="B293">
        <v>30</v>
      </c>
      <c r="C293" t="s">
        <v>73</v>
      </c>
      <c r="D293" t="s">
        <v>60</v>
      </c>
      <c r="E293" t="s">
        <v>98</v>
      </c>
      <c r="F293" t="s">
        <v>62</v>
      </c>
      <c r="G293" t="s">
        <v>60</v>
      </c>
      <c r="H293" t="s">
        <v>437</v>
      </c>
      <c r="I293" t="s">
        <v>107</v>
      </c>
      <c r="J293" s="2">
        <v>448.68</v>
      </c>
      <c r="K293">
        <v>8</v>
      </c>
      <c r="L293" t="s">
        <v>78</v>
      </c>
      <c r="M293">
        <v>4</v>
      </c>
      <c r="N293">
        <v>4</v>
      </c>
      <c r="O293">
        <v>2</v>
      </c>
      <c r="P293" t="s">
        <v>74</v>
      </c>
      <c r="Q293" t="s">
        <v>67</v>
      </c>
      <c r="R293">
        <v>1</v>
      </c>
      <c r="S293">
        <v>3</v>
      </c>
      <c r="T293" t="s">
        <v>79</v>
      </c>
      <c r="U293" t="s">
        <v>68</v>
      </c>
      <c r="V293" t="s">
        <v>91</v>
      </c>
      <c r="W293" s="3">
        <v>45437</v>
      </c>
      <c r="X293" t="b">
        <v>1</v>
      </c>
      <c r="Y293" t="b">
        <v>0</v>
      </c>
      <c r="Z293" t="s">
        <v>82</v>
      </c>
      <c r="AA293" t="s">
        <v>97</v>
      </c>
      <c r="AB293">
        <v>8</v>
      </c>
      <c r="AO293" t="str">
        <f t="shared" si="18"/>
        <v>26-40</v>
      </c>
      <c r="BD293">
        <v>8</v>
      </c>
      <c r="BF293" cm="1">
        <f t="array" ref="BF293">CORREL(J293:J1293,S293:S1293)</f>
        <v>-0.0409253862301809</v>
      </c>
      <c r="BH293">
        <v>3</v>
      </c>
      <c r="BI293">
        <f t="shared" si="16"/>
        <v>2.66666666666667</v>
      </c>
      <c r="BJ293">
        <f t="shared" si="17"/>
        <v>1.125</v>
      </c>
    </row>
    <row r="294" spans="1:62">
      <c r="A294" s="1">
        <v>298278515</v>
      </c>
      <c r="B294">
        <v>40</v>
      </c>
      <c r="C294" t="s">
        <v>59</v>
      </c>
      <c r="D294" t="s">
        <v>74</v>
      </c>
      <c r="E294" t="s">
        <v>98</v>
      </c>
      <c r="F294" t="s">
        <v>62</v>
      </c>
      <c r="G294" t="s">
        <v>74</v>
      </c>
      <c r="H294" t="s">
        <v>438</v>
      </c>
      <c r="I294" t="s">
        <v>131</v>
      </c>
      <c r="J294" s="2">
        <v>255.96</v>
      </c>
      <c r="K294">
        <v>7</v>
      </c>
      <c r="L294" t="s">
        <v>85</v>
      </c>
      <c r="M294">
        <v>5</v>
      </c>
      <c r="N294">
        <v>1</v>
      </c>
      <c r="O294">
        <v>1</v>
      </c>
      <c r="P294" t="s">
        <v>74</v>
      </c>
      <c r="Q294" t="s">
        <v>109</v>
      </c>
      <c r="R294">
        <v>0</v>
      </c>
      <c r="S294">
        <v>10</v>
      </c>
      <c r="T294" t="s">
        <v>66</v>
      </c>
      <c r="U294" t="s">
        <v>68</v>
      </c>
      <c r="V294" t="s">
        <v>110</v>
      </c>
      <c r="W294" s="3">
        <v>45649</v>
      </c>
      <c r="X294" t="b">
        <v>0</v>
      </c>
      <c r="Y294" t="b">
        <v>0</v>
      </c>
      <c r="Z294" t="s">
        <v>70</v>
      </c>
      <c r="AA294" t="s">
        <v>71</v>
      </c>
      <c r="AB294">
        <v>13</v>
      </c>
      <c r="AO294" t="str">
        <f t="shared" si="18"/>
        <v>26-40</v>
      </c>
      <c r="BD294">
        <v>7</v>
      </c>
      <c r="BF294" cm="1">
        <f t="array" ref="BF294">CORREL(J294:J1294,S294:S1294)</f>
        <v>-0.0393637720855333</v>
      </c>
      <c r="BH294">
        <v>10</v>
      </c>
      <c r="BI294">
        <f t="shared" si="16"/>
        <v>0.7</v>
      </c>
      <c r="BJ294">
        <f t="shared" si="17"/>
        <v>14.2857142857143</v>
      </c>
    </row>
    <row r="295" spans="1:62">
      <c r="A295" s="1">
        <v>917244633</v>
      </c>
      <c r="B295">
        <v>45</v>
      </c>
      <c r="C295" t="s">
        <v>73</v>
      </c>
      <c r="D295" t="s">
        <v>60</v>
      </c>
      <c r="E295" t="s">
        <v>61</v>
      </c>
      <c r="F295" t="s">
        <v>75</v>
      </c>
      <c r="G295" t="s">
        <v>74</v>
      </c>
      <c r="H295" t="s">
        <v>439</v>
      </c>
      <c r="I295" t="s">
        <v>118</v>
      </c>
      <c r="J295" s="2">
        <v>146.07</v>
      </c>
      <c r="K295">
        <v>7</v>
      </c>
      <c r="L295" t="s">
        <v>78</v>
      </c>
      <c r="M295">
        <v>4</v>
      </c>
      <c r="N295">
        <v>2</v>
      </c>
      <c r="O295">
        <v>1</v>
      </c>
      <c r="P295" t="s">
        <v>84</v>
      </c>
      <c r="Q295" t="s">
        <v>109</v>
      </c>
      <c r="R295">
        <v>1</v>
      </c>
      <c r="S295">
        <v>6</v>
      </c>
      <c r="T295" t="s">
        <v>66</v>
      </c>
      <c r="U295" t="s">
        <v>68</v>
      </c>
      <c r="V295" t="s">
        <v>69</v>
      </c>
      <c r="W295" s="3">
        <v>45480</v>
      </c>
      <c r="X295" t="b">
        <v>1</v>
      </c>
      <c r="Y295" t="b">
        <v>1</v>
      </c>
      <c r="Z295" t="s">
        <v>70</v>
      </c>
      <c r="AA295" t="s">
        <v>83</v>
      </c>
      <c r="AB295">
        <v>1</v>
      </c>
      <c r="AO295" t="str">
        <f t="shared" si="18"/>
        <v>41-60</v>
      </c>
      <c r="BD295">
        <v>7</v>
      </c>
      <c r="BF295" cm="1">
        <f t="array" ref="BF295">CORREL(J295:J1295,S295:S1295)</f>
        <v>-0.0390579971275764</v>
      </c>
      <c r="BH295">
        <v>6</v>
      </c>
      <c r="BI295">
        <f t="shared" si="16"/>
        <v>1.16666666666667</v>
      </c>
      <c r="BJ295">
        <f t="shared" si="17"/>
        <v>5.14285714285714</v>
      </c>
    </row>
    <row r="296" spans="1:62">
      <c r="A296" s="1">
        <v>103285732</v>
      </c>
      <c r="B296">
        <v>44</v>
      </c>
      <c r="C296" t="s">
        <v>59</v>
      </c>
      <c r="D296" t="s">
        <v>74</v>
      </c>
      <c r="E296" t="s">
        <v>86</v>
      </c>
      <c r="F296" t="s">
        <v>75</v>
      </c>
      <c r="G296" t="s">
        <v>60</v>
      </c>
      <c r="H296" t="s">
        <v>440</v>
      </c>
      <c r="I296" t="s">
        <v>147</v>
      </c>
      <c r="J296" s="2">
        <v>311.9</v>
      </c>
      <c r="K296">
        <v>4</v>
      </c>
      <c r="L296" t="s">
        <v>78</v>
      </c>
      <c r="M296">
        <v>2</v>
      </c>
      <c r="N296">
        <v>4</v>
      </c>
      <c r="O296">
        <v>2</v>
      </c>
      <c r="P296" t="s">
        <v>84</v>
      </c>
      <c r="Q296" t="s">
        <v>109</v>
      </c>
      <c r="R296">
        <v>0</v>
      </c>
      <c r="S296">
        <v>6</v>
      </c>
      <c r="T296" t="s">
        <v>74</v>
      </c>
      <c r="U296" t="s">
        <v>90</v>
      </c>
      <c r="V296" t="s">
        <v>69</v>
      </c>
      <c r="W296" s="3">
        <v>45656</v>
      </c>
      <c r="X296" t="b">
        <v>0</v>
      </c>
      <c r="Y296" t="b">
        <v>1</v>
      </c>
      <c r="Z296" t="s">
        <v>102</v>
      </c>
      <c r="AA296" t="s">
        <v>71</v>
      </c>
      <c r="AB296">
        <v>2</v>
      </c>
      <c r="AO296" t="str">
        <f t="shared" si="18"/>
        <v>41-60</v>
      </c>
      <c r="BD296">
        <v>4</v>
      </c>
      <c r="BF296" cm="1">
        <f t="array" ref="BF296">CORREL(J296:J1296,S296:S1296)</f>
        <v>-0.038847975769997</v>
      </c>
      <c r="BH296">
        <v>6</v>
      </c>
      <c r="BI296">
        <f t="shared" si="16"/>
        <v>0.666666666666667</v>
      </c>
      <c r="BJ296">
        <f t="shared" si="17"/>
        <v>9</v>
      </c>
    </row>
    <row r="297" spans="1:62">
      <c r="A297" s="1">
        <v>389121128</v>
      </c>
      <c r="B297">
        <v>38</v>
      </c>
      <c r="C297" t="s">
        <v>59</v>
      </c>
      <c r="D297" t="s">
        <v>60</v>
      </c>
      <c r="E297" t="s">
        <v>98</v>
      </c>
      <c r="F297" t="s">
        <v>75</v>
      </c>
      <c r="G297" t="s">
        <v>60</v>
      </c>
      <c r="H297" t="s">
        <v>441</v>
      </c>
      <c r="I297" t="s">
        <v>64</v>
      </c>
      <c r="J297" s="2">
        <v>301.6</v>
      </c>
      <c r="K297">
        <v>4</v>
      </c>
      <c r="L297" t="s">
        <v>65</v>
      </c>
      <c r="M297">
        <v>4</v>
      </c>
      <c r="N297">
        <v>5</v>
      </c>
      <c r="O297">
        <v>1</v>
      </c>
      <c r="P297" t="s">
        <v>84</v>
      </c>
      <c r="Q297" t="s">
        <v>80</v>
      </c>
      <c r="R297">
        <v>2</v>
      </c>
      <c r="S297">
        <v>10</v>
      </c>
      <c r="T297" t="s">
        <v>74</v>
      </c>
      <c r="U297" t="s">
        <v>105</v>
      </c>
      <c r="V297" t="s">
        <v>69</v>
      </c>
      <c r="W297" s="3">
        <v>45362</v>
      </c>
      <c r="X297" t="b">
        <v>0</v>
      </c>
      <c r="Y297" t="b">
        <v>0</v>
      </c>
      <c r="Z297" t="s">
        <v>92</v>
      </c>
      <c r="AA297" t="s">
        <v>83</v>
      </c>
      <c r="AB297">
        <v>13</v>
      </c>
      <c r="AO297" t="str">
        <f t="shared" si="18"/>
        <v>26-40</v>
      </c>
      <c r="BD297">
        <v>4</v>
      </c>
      <c r="BF297" cm="1">
        <f t="array" ref="BF297">CORREL(J297:J1297,S297:S1297)</f>
        <v>-0.0389113320295897</v>
      </c>
      <c r="BH297">
        <v>10</v>
      </c>
      <c r="BI297">
        <f t="shared" si="16"/>
        <v>0.4</v>
      </c>
      <c r="BJ297">
        <f t="shared" si="17"/>
        <v>25</v>
      </c>
    </row>
    <row r="298" spans="1:62">
      <c r="A298" s="4" t="s">
        <v>442</v>
      </c>
      <c r="B298">
        <v>23</v>
      </c>
      <c r="C298" t="s">
        <v>188</v>
      </c>
      <c r="D298" t="s">
        <v>60</v>
      </c>
      <c r="E298" t="s">
        <v>98</v>
      </c>
      <c r="F298" t="s">
        <v>62</v>
      </c>
      <c r="G298" t="s">
        <v>74</v>
      </c>
      <c r="H298" t="s">
        <v>443</v>
      </c>
      <c r="I298" t="s">
        <v>133</v>
      </c>
      <c r="J298" s="2">
        <v>297.45</v>
      </c>
      <c r="K298">
        <v>3</v>
      </c>
      <c r="L298" t="s">
        <v>65</v>
      </c>
      <c r="M298">
        <v>1</v>
      </c>
      <c r="N298">
        <v>5</v>
      </c>
      <c r="O298">
        <v>0</v>
      </c>
      <c r="P298" t="s">
        <v>79</v>
      </c>
      <c r="Q298" t="s">
        <v>109</v>
      </c>
      <c r="R298">
        <v>0</v>
      </c>
      <c r="S298">
        <v>7</v>
      </c>
      <c r="T298" t="s">
        <v>84</v>
      </c>
      <c r="U298" t="s">
        <v>68</v>
      </c>
      <c r="V298" t="s">
        <v>91</v>
      </c>
      <c r="W298" s="3">
        <v>45480</v>
      </c>
      <c r="X298" t="b">
        <v>0</v>
      </c>
      <c r="Y298" t="b">
        <v>0</v>
      </c>
      <c r="Z298" t="s">
        <v>102</v>
      </c>
      <c r="AA298" t="s">
        <v>71</v>
      </c>
      <c r="AB298">
        <v>4</v>
      </c>
      <c r="AO298" t="str">
        <f t="shared" si="18"/>
        <v>18-25</v>
      </c>
      <c r="BD298">
        <v>3</v>
      </c>
      <c r="BF298" cm="1">
        <f t="array" ref="BF298">CORREL(J298:J1298,S298:S1298)</f>
        <v>-0.0393792005638421</v>
      </c>
      <c r="BH298">
        <v>7</v>
      </c>
      <c r="BI298">
        <f t="shared" si="16"/>
        <v>0.428571428571429</v>
      </c>
      <c r="BJ298">
        <f t="shared" si="17"/>
        <v>16.3333333333333</v>
      </c>
    </row>
    <row r="299" spans="1:62">
      <c r="A299" s="1">
        <v>818779170</v>
      </c>
      <c r="B299">
        <v>30</v>
      </c>
      <c r="C299" t="s">
        <v>268</v>
      </c>
      <c r="D299" t="s">
        <v>74</v>
      </c>
      <c r="E299" t="s">
        <v>98</v>
      </c>
      <c r="F299" t="s">
        <v>62</v>
      </c>
      <c r="G299" t="s">
        <v>74</v>
      </c>
      <c r="H299" t="s">
        <v>444</v>
      </c>
      <c r="I299" t="s">
        <v>113</v>
      </c>
      <c r="J299" s="2">
        <v>157.26</v>
      </c>
      <c r="K299">
        <v>3</v>
      </c>
      <c r="L299" t="s">
        <v>85</v>
      </c>
      <c r="M299">
        <v>1</v>
      </c>
      <c r="N299">
        <v>3</v>
      </c>
      <c r="O299">
        <v>1</v>
      </c>
      <c r="P299" t="s">
        <v>79</v>
      </c>
      <c r="Q299" t="s">
        <v>80</v>
      </c>
      <c r="R299">
        <v>1</v>
      </c>
      <c r="S299">
        <v>1</v>
      </c>
      <c r="T299" t="s">
        <v>66</v>
      </c>
      <c r="U299" t="s">
        <v>105</v>
      </c>
      <c r="V299" t="s">
        <v>110</v>
      </c>
      <c r="W299" s="3">
        <v>45497</v>
      </c>
      <c r="X299" t="b">
        <v>0</v>
      </c>
      <c r="Y299" t="b">
        <v>0</v>
      </c>
      <c r="Z299" t="s">
        <v>70</v>
      </c>
      <c r="AA299" t="s">
        <v>83</v>
      </c>
      <c r="AB299">
        <v>8</v>
      </c>
      <c r="AO299" t="str">
        <f t="shared" si="18"/>
        <v>26-40</v>
      </c>
      <c r="BD299">
        <v>3</v>
      </c>
      <c r="BF299" cm="1">
        <f t="array" ref="BF299">CORREL(J299:J1299,S299:S1299)</f>
        <v>-0.0394960600698999</v>
      </c>
      <c r="BH299">
        <v>1</v>
      </c>
      <c r="BI299">
        <f t="shared" si="16"/>
        <v>3</v>
      </c>
      <c r="BJ299">
        <f t="shared" si="17"/>
        <v>0.333333333333333</v>
      </c>
    </row>
    <row r="300" spans="1:62">
      <c r="A300" s="1">
        <v>198852597</v>
      </c>
      <c r="B300">
        <v>42</v>
      </c>
      <c r="C300" t="s">
        <v>73</v>
      </c>
      <c r="D300" t="s">
        <v>74</v>
      </c>
      <c r="E300" t="s">
        <v>98</v>
      </c>
      <c r="F300" t="s">
        <v>87</v>
      </c>
      <c r="G300" t="s">
        <v>60</v>
      </c>
      <c r="H300" t="s">
        <v>445</v>
      </c>
      <c r="I300" t="s">
        <v>147</v>
      </c>
      <c r="J300" s="2">
        <v>239.46</v>
      </c>
      <c r="K300">
        <v>3</v>
      </c>
      <c r="L300" t="s">
        <v>65</v>
      </c>
      <c r="M300">
        <v>3</v>
      </c>
      <c r="N300">
        <v>1</v>
      </c>
      <c r="O300">
        <v>0</v>
      </c>
      <c r="P300" t="s">
        <v>84</v>
      </c>
      <c r="Q300" t="s">
        <v>80</v>
      </c>
      <c r="R300">
        <v>2</v>
      </c>
      <c r="S300">
        <v>8</v>
      </c>
      <c r="T300" t="s">
        <v>74</v>
      </c>
      <c r="U300" t="s">
        <v>105</v>
      </c>
      <c r="V300" t="s">
        <v>96</v>
      </c>
      <c r="W300" s="3">
        <v>45508</v>
      </c>
      <c r="X300" t="b">
        <v>1</v>
      </c>
      <c r="Y300" t="b">
        <v>1</v>
      </c>
      <c r="Z300" t="s">
        <v>102</v>
      </c>
      <c r="AA300" t="s">
        <v>83</v>
      </c>
      <c r="AB300">
        <v>7</v>
      </c>
      <c r="AO300" t="str">
        <f t="shared" si="18"/>
        <v>41-60</v>
      </c>
      <c r="BD300">
        <v>3</v>
      </c>
      <c r="BF300" cm="1">
        <f t="array" ref="BF300">CORREL(J300:J1300,S300:S1300)</f>
        <v>-0.041677344408487</v>
      </c>
      <c r="BH300">
        <v>8</v>
      </c>
      <c r="BI300">
        <f t="shared" si="16"/>
        <v>0.375</v>
      </c>
      <c r="BJ300">
        <f t="shared" si="17"/>
        <v>21.3333333333333</v>
      </c>
    </row>
    <row r="301" spans="1:62">
      <c r="A301" s="1">
        <v>823892029</v>
      </c>
      <c r="B301">
        <v>28</v>
      </c>
      <c r="C301" t="s">
        <v>59</v>
      </c>
      <c r="D301" t="s">
        <v>74</v>
      </c>
      <c r="E301" t="s">
        <v>98</v>
      </c>
      <c r="F301" t="s">
        <v>75</v>
      </c>
      <c r="G301" t="s">
        <v>74</v>
      </c>
      <c r="H301" t="s">
        <v>446</v>
      </c>
      <c r="I301" t="s">
        <v>64</v>
      </c>
      <c r="J301" s="2">
        <v>240.82</v>
      </c>
      <c r="K301">
        <v>10</v>
      </c>
      <c r="L301" t="s">
        <v>65</v>
      </c>
      <c r="M301">
        <v>1</v>
      </c>
      <c r="N301">
        <v>3</v>
      </c>
      <c r="O301">
        <v>2</v>
      </c>
      <c r="P301" t="s">
        <v>74</v>
      </c>
      <c r="Q301" t="s">
        <v>67</v>
      </c>
      <c r="R301">
        <v>0</v>
      </c>
      <c r="S301">
        <v>3</v>
      </c>
      <c r="T301" t="s">
        <v>79</v>
      </c>
      <c r="U301" t="s">
        <v>68</v>
      </c>
      <c r="V301" t="s">
        <v>81</v>
      </c>
      <c r="W301" s="3">
        <v>45293</v>
      </c>
      <c r="X301" t="b">
        <v>1</v>
      </c>
      <c r="Y301" t="b">
        <v>0</v>
      </c>
      <c r="Z301" t="s">
        <v>102</v>
      </c>
      <c r="AA301" t="s">
        <v>71</v>
      </c>
      <c r="AB301">
        <v>8</v>
      </c>
      <c r="AO301" t="str">
        <f t="shared" si="18"/>
        <v>26-40</v>
      </c>
      <c r="BD301">
        <v>10</v>
      </c>
      <c r="BF301" cm="1">
        <f t="array" ref="BF301">CORREL(J301:J1301,S301:S1301)</f>
        <v>-0.0413340105251573</v>
      </c>
      <c r="BH301">
        <v>3</v>
      </c>
      <c r="BI301">
        <f t="shared" si="16"/>
        <v>3.33333333333333</v>
      </c>
      <c r="BJ301">
        <f t="shared" si="17"/>
        <v>0.9</v>
      </c>
    </row>
    <row r="302" spans="1:62">
      <c r="A302" s="1">
        <v>974630048</v>
      </c>
      <c r="B302">
        <v>44</v>
      </c>
      <c r="C302" t="s">
        <v>59</v>
      </c>
      <c r="D302" t="s">
        <v>60</v>
      </c>
      <c r="E302" t="s">
        <v>86</v>
      </c>
      <c r="F302" t="s">
        <v>87</v>
      </c>
      <c r="G302" t="s">
        <v>74</v>
      </c>
      <c r="H302" t="s">
        <v>447</v>
      </c>
      <c r="I302" t="s">
        <v>113</v>
      </c>
      <c r="J302" s="2">
        <v>302.07</v>
      </c>
      <c r="K302">
        <v>6</v>
      </c>
      <c r="L302" t="s">
        <v>65</v>
      </c>
      <c r="M302">
        <v>1</v>
      </c>
      <c r="N302">
        <v>5</v>
      </c>
      <c r="O302">
        <v>1</v>
      </c>
      <c r="P302" t="s">
        <v>79</v>
      </c>
      <c r="Q302" t="s">
        <v>80</v>
      </c>
      <c r="R302">
        <v>2</v>
      </c>
      <c r="S302">
        <v>5</v>
      </c>
      <c r="T302" t="s">
        <v>79</v>
      </c>
      <c r="U302" t="s">
        <v>105</v>
      </c>
      <c r="V302" t="s">
        <v>96</v>
      </c>
      <c r="W302" s="3">
        <v>45391</v>
      </c>
      <c r="X302" t="b">
        <v>1</v>
      </c>
      <c r="Y302" t="b">
        <v>0</v>
      </c>
      <c r="Z302" t="s">
        <v>102</v>
      </c>
      <c r="AA302" t="s">
        <v>97</v>
      </c>
      <c r="AB302">
        <v>13</v>
      </c>
      <c r="AO302" t="str">
        <f t="shared" si="18"/>
        <v>41-60</v>
      </c>
      <c r="BD302">
        <v>6</v>
      </c>
      <c r="BF302" cm="1">
        <f t="array" ref="BF302">CORREL(J302:J1302,S302:S1302)</f>
        <v>-0.0417220163842735</v>
      </c>
      <c r="BH302">
        <v>5</v>
      </c>
      <c r="BI302">
        <f t="shared" si="16"/>
        <v>1.2</v>
      </c>
      <c r="BJ302">
        <f t="shared" si="17"/>
        <v>4.16666666666667</v>
      </c>
    </row>
    <row r="303" spans="1:62">
      <c r="A303" s="1">
        <v>915726135</v>
      </c>
      <c r="B303">
        <v>45</v>
      </c>
      <c r="C303" t="s">
        <v>73</v>
      </c>
      <c r="D303" t="s">
        <v>60</v>
      </c>
      <c r="E303" t="s">
        <v>98</v>
      </c>
      <c r="F303" t="s">
        <v>62</v>
      </c>
      <c r="G303" t="s">
        <v>60</v>
      </c>
      <c r="H303" t="s">
        <v>448</v>
      </c>
      <c r="I303" t="s">
        <v>133</v>
      </c>
      <c r="J303" s="2">
        <v>367.99</v>
      </c>
      <c r="K303">
        <v>2</v>
      </c>
      <c r="L303" t="s">
        <v>85</v>
      </c>
      <c r="M303">
        <v>2</v>
      </c>
      <c r="N303">
        <v>5</v>
      </c>
      <c r="O303">
        <v>1</v>
      </c>
      <c r="P303" t="s">
        <v>66</v>
      </c>
      <c r="Q303" t="s">
        <v>80</v>
      </c>
      <c r="R303">
        <v>2</v>
      </c>
      <c r="S303">
        <v>2</v>
      </c>
      <c r="T303" t="s">
        <v>74</v>
      </c>
      <c r="U303" t="s">
        <v>90</v>
      </c>
      <c r="V303" t="s">
        <v>91</v>
      </c>
      <c r="W303" s="3">
        <v>45580</v>
      </c>
      <c r="X303" t="b">
        <v>0</v>
      </c>
      <c r="Y303" t="b">
        <v>0</v>
      </c>
      <c r="Z303" t="s">
        <v>102</v>
      </c>
      <c r="AA303" t="s">
        <v>97</v>
      </c>
      <c r="AB303">
        <v>8</v>
      </c>
      <c r="AO303" t="str">
        <f t="shared" si="18"/>
        <v>41-60</v>
      </c>
      <c r="BD303">
        <v>2</v>
      </c>
      <c r="BF303" cm="1">
        <f t="array" ref="BF303">CORREL(J303:J1303,S303:S1303)</f>
        <v>-0.0416769510778945</v>
      </c>
      <c r="BH303">
        <v>2</v>
      </c>
      <c r="BI303">
        <f t="shared" si="16"/>
        <v>1</v>
      </c>
      <c r="BJ303">
        <f t="shared" si="17"/>
        <v>2</v>
      </c>
    </row>
    <row r="304" spans="1:62">
      <c r="A304" s="1">
        <v>102320685</v>
      </c>
      <c r="B304">
        <v>46</v>
      </c>
      <c r="C304" t="s">
        <v>59</v>
      </c>
      <c r="D304" t="s">
        <v>74</v>
      </c>
      <c r="E304" t="s">
        <v>61</v>
      </c>
      <c r="F304" t="s">
        <v>87</v>
      </c>
      <c r="G304" t="s">
        <v>60</v>
      </c>
      <c r="H304" t="s">
        <v>449</v>
      </c>
      <c r="I304" t="s">
        <v>156</v>
      </c>
      <c r="J304" s="2">
        <v>359.75</v>
      </c>
      <c r="K304">
        <v>7</v>
      </c>
      <c r="L304" t="s">
        <v>78</v>
      </c>
      <c r="M304">
        <v>5</v>
      </c>
      <c r="N304">
        <v>1</v>
      </c>
      <c r="O304">
        <v>1</v>
      </c>
      <c r="P304" t="s">
        <v>74</v>
      </c>
      <c r="Q304" t="s">
        <v>80</v>
      </c>
      <c r="R304">
        <v>1</v>
      </c>
      <c r="S304">
        <v>6</v>
      </c>
      <c r="T304" t="s">
        <v>84</v>
      </c>
      <c r="U304" t="s">
        <v>68</v>
      </c>
      <c r="V304" t="s">
        <v>96</v>
      </c>
      <c r="W304" s="3">
        <v>45314</v>
      </c>
      <c r="X304" t="b">
        <v>0</v>
      </c>
      <c r="Y304" t="b">
        <v>0</v>
      </c>
      <c r="Z304" t="s">
        <v>82</v>
      </c>
      <c r="AA304" t="s">
        <v>83</v>
      </c>
      <c r="AB304">
        <v>3</v>
      </c>
      <c r="AO304" t="str">
        <f t="shared" si="18"/>
        <v>41-60</v>
      </c>
      <c r="BD304">
        <v>7</v>
      </c>
      <c r="BF304" cm="1">
        <f t="array" ref="BF304">CORREL(J304:J1304,S304:S1304)</f>
        <v>-0.0405289498762269</v>
      </c>
      <c r="BH304">
        <v>6</v>
      </c>
      <c r="BI304">
        <f t="shared" si="16"/>
        <v>1.16666666666667</v>
      </c>
      <c r="BJ304">
        <f t="shared" si="17"/>
        <v>5.14285714285714</v>
      </c>
    </row>
    <row r="305" spans="1:62">
      <c r="A305" s="1">
        <v>777617475</v>
      </c>
      <c r="B305">
        <v>28</v>
      </c>
      <c r="C305" t="s">
        <v>59</v>
      </c>
      <c r="D305" t="s">
        <v>60</v>
      </c>
      <c r="E305" t="s">
        <v>103</v>
      </c>
      <c r="F305" t="s">
        <v>62</v>
      </c>
      <c r="G305" t="s">
        <v>74</v>
      </c>
      <c r="H305" t="s">
        <v>450</v>
      </c>
      <c r="I305" t="s">
        <v>129</v>
      </c>
      <c r="J305" s="2">
        <v>204.44</v>
      </c>
      <c r="K305">
        <v>2</v>
      </c>
      <c r="L305" t="s">
        <v>65</v>
      </c>
      <c r="M305">
        <v>5</v>
      </c>
      <c r="N305">
        <v>3</v>
      </c>
      <c r="O305">
        <v>2</v>
      </c>
      <c r="P305" t="s">
        <v>66</v>
      </c>
      <c r="Q305" t="s">
        <v>67</v>
      </c>
      <c r="R305">
        <v>1</v>
      </c>
      <c r="S305">
        <v>3</v>
      </c>
      <c r="T305" t="s">
        <v>74</v>
      </c>
      <c r="U305" t="s">
        <v>105</v>
      </c>
      <c r="V305" t="s">
        <v>91</v>
      </c>
      <c r="W305" s="3">
        <v>45627</v>
      </c>
      <c r="X305" t="b">
        <v>0</v>
      </c>
      <c r="Y305" t="b">
        <v>1</v>
      </c>
      <c r="Z305" t="s">
        <v>92</v>
      </c>
      <c r="AA305" t="s">
        <v>83</v>
      </c>
      <c r="AB305">
        <v>13</v>
      </c>
      <c r="AO305" t="str">
        <f t="shared" si="18"/>
        <v>26-40</v>
      </c>
      <c r="BD305">
        <v>2</v>
      </c>
      <c r="BF305" cm="1">
        <f t="array" ref="BF305">CORREL(J305:J1305,S305:S1305)</f>
        <v>-0.0406882794021075</v>
      </c>
      <c r="BH305">
        <v>3</v>
      </c>
      <c r="BI305">
        <f t="shared" si="16"/>
        <v>0.666666666666667</v>
      </c>
      <c r="BJ305">
        <f t="shared" si="17"/>
        <v>4.5</v>
      </c>
    </row>
    <row r="306" spans="1:62">
      <c r="A306" s="1">
        <v>788263039</v>
      </c>
      <c r="B306">
        <v>27</v>
      </c>
      <c r="C306" t="s">
        <v>73</v>
      </c>
      <c r="D306" t="s">
        <v>74</v>
      </c>
      <c r="E306" t="s">
        <v>86</v>
      </c>
      <c r="F306" t="s">
        <v>87</v>
      </c>
      <c r="G306" t="s">
        <v>74</v>
      </c>
      <c r="H306" t="s">
        <v>451</v>
      </c>
      <c r="I306" t="s">
        <v>64</v>
      </c>
      <c r="J306" s="2">
        <v>228.93</v>
      </c>
      <c r="K306">
        <v>7</v>
      </c>
      <c r="L306" t="s">
        <v>85</v>
      </c>
      <c r="M306">
        <v>1</v>
      </c>
      <c r="N306">
        <v>1</v>
      </c>
      <c r="O306">
        <v>2</v>
      </c>
      <c r="P306" t="s">
        <v>84</v>
      </c>
      <c r="Q306" t="s">
        <v>80</v>
      </c>
      <c r="R306">
        <v>2</v>
      </c>
      <c r="S306">
        <v>2</v>
      </c>
      <c r="T306" t="s">
        <v>79</v>
      </c>
      <c r="U306" t="s">
        <v>105</v>
      </c>
      <c r="V306" t="s">
        <v>81</v>
      </c>
      <c r="W306" s="3">
        <v>45341</v>
      </c>
      <c r="X306" t="b">
        <v>1</v>
      </c>
      <c r="Y306" t="b">
        <v>1</v>
      </c>
      <c r="Z306" t="s">
        <v>92</v>
      </c>
      <c r="AA306" t="s">
        <v>97</v>
      </c>
      <c r="AB306">
        <v>11</v>
      </c>
      <c r="AO306" t="str">
        <f t="shared" si="18"/>
        <v>26-40</v>
      </c>
      <c r="BD306">
        <v>7</v>
      </c>
      <c r="BF306" cm="1">
        <f t="array" ref="BF306">CORREL(J306:J1306,S306:S1306)</f>
        <v>-0.0414353234095898</v>
      </c>
      <c r="BH306">
        <v>2</v>
      </c>
      <c r="BI306">
        <f t="shared" si="16"/>
        <v>3.5</v>
      </c>
      <c r="BJ306">
        <f t="shared" si="17"/>
        <v>0.571428571428571</v>
      </c>
    </row>
    <row r="307" spans="1:62">
      <c r="A307" s="1">
        <v>866681045</v>
      </c>
      <c r="B307">
        <v>20</v>
      </c>
      <c r="C307" t="s">
        <v>59</v>
      </c>
      <c r="D307" t="s">
        <v>74</v>
      </c>
      <c r="E307" t="s">
        <v>86</v>
      </c>
      <c r="F307" t="s">
        <v>75</v>
      </c>
      <c r="G307" t="s">
        <v>60</v>
      </c>
      <c r="H307" t="s">
        <v>370</v>
      </c>
      <c r="I307" t="s">
        <v>89</v>
      </c>
      <c r="J307" s="2">
        <v>355.31</v>
      </c>
      <c r="K307">
        <v>11</v>
      </c>
      <c r="L307" t="s">
        <v>85</v>
      </c>
      <c r="M307">
        <v>1</v>
      </c>
      <c r="N307">
        <v>1</v>
      </c>
      <c r="O307">
        <v>0</v>
      </c>
      <c r="P307" t="s">
        <v>74</v>
      </c>
      <c r="Q307" t="s">
        <v>80</v>
      </c>
      <c r="R307">
        <v>1</v>
      </c>
      <c r="S307">
        <v>2</v>
      </c>
      <c r="T307" t="s">
        <v>79</v>
      </c>
      <c r="U307" t="s">
        <v>105</v>
      </c>
      <c r="V307" t="s">
        <v>91</v>
      </c>
      <c r="W307" s="3">
        <v>45523</v>
      </c>
      <c r="X307" t="b">
        <v>0</v>
      </c>
      <c r="Y307" t="b">
        <v>1</v>
      </c>
      <c r="Z307" t="s">
        <v>92</v>
      </c>
      <c r="AA307" t="s">
        <v>97</v>
      </c>
      <c r="AB307">
        <v>12</v>
      </c>
      <c r="AO307" t="str">
        <f t="shared" si="18"/>
        <v>18-25</v>
      </c>
      <c r="BD307">
        <v>11</v>
      </c>
      <c r="BF307" cm="1">
        <f t="array" ref="BF307">CORREL(J307:J1307,S307:S1307)</f>
        <v>-0.0421551280237785</v>
      </c>
      <c r="BH307">
        <v>2</v>
      </c>
      <c r="BI307">
        <f t="shared" si="16"/>
        <v>5.5</v>
      </c>
      <c r="BJ307">
        <f t="shared" si="17"/>
        <v>0.363636363636364</v>
      </c>
    </row>
    <row r="308" spans="1:62">
      <c r="A308" s="1">
        <v>146039698</v>
      </c>
      <c r="B308">
        <v>40</v>
      </c>
      <c r="C308" t="s">
        <v>73</v>
      </c>
      <c r="D308" t="s">
        <v>74</v>
      </c>
      <c r="E308" t="s">
        <v>61</v>
      </c>
      <c r="F308" t="s">
        <v>75</v>
      </c>
      <c r="G308" t="s">
        <v>74</v>
      </c>
      <c r="H308" t="s">
        <v>452</v>
      </c>
      <c r="I308" t="s">
        <v>120</v>
      </c>
      <c r="J308" s="2">
        <v>334.67</v>
      </c>
      <c r="K308">
        <v>12</v>
      </c>
      <c r="L308" t="s">
        <v>78</v>
      </c>
      <c r="M308">
        <v>2</v>
      </c>
      <c r="N308">
        <v>1</v>
      </c>
      <c r="O308">
        <v>2</v>
      </c>
      <c r="P308" t="s">
        <v>66</v>
      </c>
      <c r="Q308" t="s">
        <v>67</v>
      </c>
      <c r="R308">
        <v>2</v>
      </c>
      <c r="S308">
        <v>5</v>
      </c>
      <c r="T308" t="s">
        <v>66</v>
      </c>
      <c r="U308" t="s">
        <v>68</v>
      </c>
      <c r="V308" t="s">
        <v>91</v>
      </c>
      <c r="W308" s="3">
        <v>45614</v>
      </c>
      <c r="X308" t="b">
        <v>1</v>
      </c>
      <c r="Y308" t="b">
        <v>0</v>
      </c>
      <c r="Z308" t="s">
        <v>70</v>
      </c>
      <c r="AA308" t="s">
        <v>83</v>
      </c>
      <c r="AB308">
        <v>13</v>
      </c>
      <c r="AO308" t="str">
        <f t="shared" si="18"/>
        <v>26-40</v>
      </c>
      <c r="BD308">
        <v>12</v>
      </c>
      <c r="BF308" cm="1">
        <f t="array" ref="BF308">CORREL(J308:J1308,S308:S1308)</f>
        <v>-0.0411672735182002</v>
      </c>
      <c r="BH308">
        <v>5</v>
      </c>
      <c r="BI308">
        <f t="shared" si="16"/>
        <v>2.4</v>
      </c>
      <c r="BJ308">
        <f t="shared" si="17"/>
        <v>2.08333333333333</v>
      </c>
    </row>
    <row r="309" spans="1:62">
      <c r="A309" s="1">
        <v>237522213</v>
      </c>
      <c r="B309">
        <v>36</v>
      </c>
      <c r="C309" t="s">
        <v>73</v>
      </c>
      <c r="D309" t="s">
        <v>60</v>
      </c>
      <c r="E309" t="s">
        <v>98</v>
      </c>
      <c r="F309" t="s">
        <v>87</v>
      </c>
      <c r="G309" t="s">
        <v>60</v>
      </c>
      <c r="H309" t="s">
        <v>453</v>
      </c>
      <c r="I309" t="s">
        <v>107</v>
      </c>
      <c r="J309" s="2">
        <v>182.72</v>
      </c>
      <c r="K309">
        <v>5</v>
      </c>
      <c r="L309" t="s">
        <v>85</v>
      </c>
      <c r="M309">
        <v>2</v>
      </c>
      <c r="N309">
        <v>1</v>
      </c>
      <c r="O309">
        <v>2</v>
      </c>
      <c r="P309" t="s">
        <v>74</v>
      </c>
      <c r="Q309" t="s">
        <v>109</v>
      </c>
      <c r="R309">
        <v>1</v>
      </c>
      <c r="S309">
        <v>7</v>
      </c>
      <c r="T309" t="s">
        <v>66</v>
      </c>
      <c r="U309" t="s">
        <v>105</v>
      </c>
      <c r="V309" t="s">
        <v>96</v>
      </c>
      <c r="W309" s="3">
        <v>45447</v>
      </c>
      <c r="X309" t="b">
        <v>0</v>
      </c>
      <c r="Y309" t="b">
        <v>0</v>
      </c>
      <c r="Z309" t="s">
        <v>92</v>
      </c>
      <c r="AA309" t="s">
        <v>71</v>
      </c>
      <c r="AB309">
        <v>13</v>
      </c>
      <c r="AO309" t="str">
        <f t="shared" si="18"/>
        <v>26-40</v>
      </c>
      <c r="BD309">
        <v>5</v>
      </c>
      <c r="BF309" cm="1">
        <f t="array" ref="BF309">CORREL(J309:J1309,S309:S1309)</f>
        <v>-0.0410565688268785</v>
      </c>
      <c r="BH309">
        <v>7</v>
      </c>
      <c r="BI309">
        <f t="shared" si="16"/>
        <v>0.714285714285714</v>
      </c>
      <c r="BJ309">
        <f t="shared" si="17"/>
        <v>9.8</v>
      </c>
    </row>
    <row r="310" spans="1:62">
      <c r="A310" s="1">
        <v>714868561</v>
      </c>
      <c r="B310">
        <v>43</v>
      </c>
      <c r="C310" t="s">
        <v>73</v>
      </c>
      <c r="D310" t="s">
        <v>74</v>
      </c>
      <c r="E310" t="s">
        <v>98</v>
      </c>
      <c r="F310" t="s">
        <v>75</v>
      </c>
      <c r="G310" t="s">
        <v>60</v>
      </c>
      <c r="H310" t="s">
        <v>454</v>
      </c>
      <c r="I310" t="s">
        <v>209</v>
      </c>
      <c r="J310" s="2">
        <v>260.22</v>
      </c>
      <c r="K310">
        <v>11</v>
      </c>
      <c r="L310" t="s">
        <v>78</v>
      </c>
      <c r="M310">
        <v>4</v>
      </c>
      <c r="N310">
        <v>3</v>
      </c>
      <c r="O310">
        <v>0</v>
      </c>
      <c r="P310" t="s">
        <v>66</v>
      </c>
      <c r="Q310" t="s">
        <v>80</v>
      </c>
      <c r="R310">
        <v>2</v>
      </c>
      <c r="S310">
        <v>5</v>
      </c>
      <c r="T310" t="s">
        <v>74</v>
      </c>
      <c r="U310" t="s">
        <v>105</v>
      </c>
      <c r="V310" t="s">
        <v>69</v>
      </c>
      <c r="W310" s="3">
        <v>45616</v>
      </c>
      <c r="X310" t="b">
        <v>0</v>
      </c>
      <c r="Y310" t="b">
        <v>1</v>
      </c>
      <c r="Z310" t="s">
        <v>70</v>
      </c>
      <c r="AA310" t="s">
        <v>97</v>
      </c>
      <c r="AB310">
        <v>13</v>
      </c>
      <c r="AO310" t="str">
        <f t="shared" si="18"/>
        <v>41-60</v>
      </c>
      <c r="BD310">
        <v>11</v>
      </c>
      <c r="BF310" cm="1">
        <f t="array" ref="BF310">CORREL(J310:J1310,S310:S1310)</f>
        <v>-0.0405439474778514</v>
      </c>
      <c r="BH310">
        <v>5</v>
      </c>
      <c r="BI310">
        <f t="shared" si="16"/>
        <v>2.2</v>
      </c>
      <c r="BJ310">
        <f t="shared" si="17"/>
        <v>2.27272727272727</v>
      </c>
    </row>
    <row r="311" spans="1:62">
      <c r="A311" s="1">
        <v>763827162</v>
      </c>
      <c r="B311">
        <v>26</v>
      </c>
      <c r="C311" t="s">
        <v>59</v>
      </c>
      <c r="D311" t="s">
        <v>74</v>
      </c>
      <c r="E311" t="s">
        <v>86</v>
      </c>
      <c r="F311" t="s">
        <v>75</v>
      </c>
      <c r="G311" t="s">
        <v>60</v>
      </c>
      <c r="H311" t="s">
        <v>455</v>
      </c>
      <c r="I311" t="s">
        <v>77</v>
      </c>
      <c r="J311" s="2">
        <v>454.93</v>
      </c>
      <c r="K311">
        <v>8</v>
      </c>
      <c r="L311" t="s">
        <v>85</v>
      </c>
      <c r="M311">
        <v>3</v>
      </c>
      <c r="N311">
        <v>5</v>
      </c>
      <c r="O311">
        <v>0</v>
      </c>
      <c r="P311" t="s">
        <v>84</v>
      </c>
      <c r="Q311" t="s">
        <v>67</v>
      </c>
      <c r="R311">
        <v>2</v>
      </c>
      <c r="S311">
        <v>7</v>
      </c>
      <c r="T311" t="s">
        <v>79</v>
      </c>
      <c r="U311" t="s">
        <v>105</v>
      </c>
      <c r="V311" t="s">
        <v>91</v>
      </c>
      <c r="W311" s="3">
        <v>45403</v>
      </c>
      <c r="X311" t="b">
        <v>0</v>
      </c>
      <c r="Y311" t="b">
        <v>0</v>
      </c>
      <c r="Z311" t="s">
        <v>82</v>
      </c>
      <c r="AA311" t="s">
        <v>71</v>
      </c>
      <c r="AB311">
        <v>11</v>
      </c>
      <c r="AO311" t="str">
        <f t="shared" si="18"/>
        <v>26-40</v>
      </c>
      <c r="BD311">
        <v>8</v>
      </c>
      <c r="BF311" cm="1">
        <f t="array" ref="BF311">CORREL(J311:J1311,S311:S1311)</f>
        <v>-0.0405831192101867</v>
      </c>
      <c r="BH311">
        <v>7</v>
      </c>
      <c r="BI311">
        <f t="shared" si="16"/>
        <v>1.14285714285714</v>
      </c>
      <c r="BJ311">
        <f t="shared" si="17"/>
        <v>6.125</v>
      </c>
    </row>
    <row r="312" spans="1:62">
      <c r="A312" s="1">
        <v>289474295</v>
      </c>
      <c r="B312">
        <v>29</v>
      </c>
      <c r="C312" t="s">
        <v>73</v>
      </c>
      <c r="D312" t="s">
        <v>60</v>
      </c>
      <c r="E312" t="s">
        <v>98</v>
      </c>
      <c r="F312" t="s">
        <v>62</v>
      </c>
      <c r="G312" t="s">
        <v>74</v>
      </c>
      <c r="H312" t="s">
        <v>456</v>
      </c>
      <c r="I312" t="s">
        <v>174</v>
      </c>
      <c r="J312" s="2">
        <v>325.42</v>
      </c>
      <c r="K312">
        <v>11</v>
      </c>
      <c r="L312" t="s">
        <v>78</v>
      </c>
      <c r="M312">
        <v>2</v>
      </c>
      <c r="N312">
        <v>4</v>
      </c>
      <c r="O312">
        <v>2</v>
      </c>
      <c r="P312" t="s">
        <v>84</v>
      </c>
      <c r="Q312" t="s">
        <v>80</v>
      </c>
      <c r="R312">
        <v>1</v>
      </c>
      <c r="S312">
        <v>1</v>
      </c>
      <c r="T312" t="s">
        <v>74</v>
      </c>
      <c r="U312" t="s">
        <v>105</v>
      </c>
      <c r="V312" t="s">
        <v>96</v>
      </c>
      <c r="W312" s="3">
        <v>45585</v>
      </c>
      <c r="X312" t="b">
        <v>1</v>
      </c>
      <c r="Y312" t="b">
        <v>0</v>
      </c>
      <c r="Z312" t="s">
        <v>92</v>
      </c>
      <c r="AA312" t="s">
        <v>97</v>
      </c>
      <c r="AB312">
        <v>7</v>
      </c>
      <c r="AO312" t="str">
        <f t="shared" si="18"/>
        <v>26-40</v>
      </c>
      <c r="BD312">
        <v>11</v>
      </c>
      <c r="BF312" cm="1">
        <f t="array" ref="BF312">CORREL(J312:J1312,S312:S1312)</f>
        <v>-0.0416365068928088</v>
      </c>
      <c r="BH312">
        <v>1</v>
      </c>
      <c r="BI312">
        <f t="shared" si="16"/>
        <v>11</v>
      </c>
      <c r="BJ312">
        <f t="shared" si="17"/>
        <v>0.0909090909090909</v>
      </c>
    </row>
    <row r="313" spans="1:62">
      <c r="A313" s="1">
        <v>847650748</v>
      </c>
      <c r="B313">
        <v>34</v>
      </c>
      <c r="C313" t="s">
        <v>59</v>
      </c>
      <c r="D313" t="s">
        <v>60</v>
      </c>
      <c r="E313" t="s">
        <v>98</v>
      </c>
      <c r="F313" t="s">
        <v>75</v>
      </c>
      <c r="G313" t="s">
        <v>74</v>
      </c>
      <c r="H313" t="s">
        <v>457</v>
      </c>
      <c r="I313" t="s">
        <v>209</v>
      </c>
      <c r="J313" s="2">
        <v>351.36</v>
      </c>
      <c r="K313">
        <v>2</v>
      </c>
      <c r="L313" t="s">
        <v>78</v>
      </c>
      <c r="M313">
        <v>5</v>
      </c>
      <c r="N313">
        <v>3</v>
      </c>
      <c r="O313">
        <v>2</v>
      </c>
      <c r="P313" t="s">
        <v>74</v>
      </c>
      <c r="Q313" t="s">
        <v>109</v>
      </c>
      <c r="R313">
        <v>2</v>
      </c>
      <c r="S313">
        <v>6</v>
      </c>
      <c r="T313" t="s">
        <v>66</v>
      </c>
      <c r="U313" t="s">
        <v>105</v>
      </c>
      <c r="V313" t="s">
        <v>96</v>
      </c>
      <c r="W313" s="3">
        <v>45331</v>
      </c>
      <c r="X313" t="b">
        <v>0</v>
      </c>
      <c r="Y313" t="b">
        <v>1</v>
      </c>
      <c r="Z313" t="s">
        <v>70</v>
      </c>
      <c r="AA313" t="s">
        <v>83</v>
      </c>
      <c r="AB313">
        <v>7</v>
      </c>
      <c r="AO313" t="str">
        <f t="shared" si="18"/>
        <v>26-40</v>
      </c>
      <c r="BD313">
        <v>2</v>
      </c>
      <c r="BF313" cm="1">
        <f t="array" ref="BF313">CORREL(J313:J1313,S313:S1313)</f>
        <v>-0.0408888325452988</v>
      </c>
      <c r="BH313">
        <v>6</v>
      </c>
      <c r="BI313">
        <f t="shared" si="16"/>
        <v>0.333333333333333</v>
      </c>
      <c r="BJ313">
        <f t="shared" si="17"/>
        <v>18</v>
      </c>
    </row>
    <row r="314" spans="1:62">
      <c r="A314" s="1">
        <v>542078349</v>
      </c>
      <c r="B314">
        <v>40</v>
      </c>
      <c r="C314" t="s">
        <v>73</v>
      </c>
      <c r="D314" t="s">
        <v>74</v>
      </c>
      <c r="E314" t="s">
        <v>86</v>
      </c>
      <c r="F314" t="s">
        <v>62</v>
      </c>
      <c r="G314" t="s">
        <v>60</v>
      </c>
      <c r="H314" t="s">
        <v>458</v>
      </c>
      <c r="I314" t="s">
        <v>135</v>
      </c>
      <c r="J314" s="2">
        <v>333.63</v>
      </c>
      <c r="K314">
        <v>8</v>
      </c>
      <c r="L314" t="s">
        <v>65</v>
      </c>
      <c r="M314">
        <v>4</v>
      </c>
      <c r="N314">
        <v>5</v>
      </c>
      <c r="O314">
        <v>2</v>
      </c>
      <c r="P314" t="s">
        <v>66</v>
      </c>
      <c r="Q314" t="s">
        <v>109</v>
      </c>
      <c r="R314">
        <v>2</v>
      </c>
      <c r="S314">
        <v>2</v>
      </c>
      <c r="T314" t="s">
        <v>74</v>
      </c>
      <c r="U314" t="s">
        <v>90</v>
      </c>
      <c r="V314" t="s">
        <v>96</v>
      </c>
      <c r="W314" s="3">
        <v>45631</v>
      </c>
      <c r="X314" t="b">
        <v>0</v>
      </c>
      <c r="Y314" t="b">
        <v>0</v>
      </c>
      <c r="Z314" t="s">
        <v>70</v>
      </c>
      <c r="AA314" t="s">
        <v>97</v>
      </c>
      <c r="AB314">
        <v>14</v>
      </c>
      <c r="AO314" t="str">
        <f t="shared" si="18"/>
        <v>26-40</v>
      </c>
      <c r="BD314">
        <v>8</v>
      </c>
      <c r="BF314" cm="1">
        <f t="array" ref="BF314">CORREL(J314:J1314,S314:S1314)</f>
        <v>-0.0410277115094008</v>
      </c>
      <c r="BH314">
        <v>2</v>
      </c>
      <c r="BI314">
        <f t="shared" si="16"/>
        <v>4</v>
      </c>
      <c r="BJ314">
        <f t="shared" si="17"/>
        <v>0.5</v>
      </c>
    </row>
    <row r="315" spans="1:62">
      <c r="A315" s="1">
        <v>204190341</v>
      </c>
      <c r="B315">
        <v>42</v>
      </c>
      <c r="C315" t="s">
        <v>59</v>
      </c>
      <c r="D315" t="s">
        <v>74</v>
      </c>
      <c r="E315" t="s">
        <v>61</v>
      </c>
      <c r="F315" t="s">
        <v>62</v>
      </c>
      <c r="G315" t="s">
        <v>60</v>
      </c>
      <c r="H315" t="s">
        <v>459</v>
      </c>
      <c r="I315" t="s">
        <v>174</v>
      </c>
      <c r="J315" s="2">
        <v>469.9</v>
      </c>
      <c r="K315">
        <v>4</v>
      </c>
      <c r="L315" t="s">
        <v>65</v>
      </c>
      <c r="M315">
        <v>2</v>
      </c>
      <c r="N315">
        <v>5</v>
      </c>
      <c r="O315">
        <v>1</v>
      </c>
      <c r="P315" t="s">
        <v>84</v>
      </c>
      <c r="Q315" t="s">
        <v>80</v>
      </c>
      <c r="R315">
        <v>1</v>
      </c>
      <c r="S315">
        <v>7</v>
      </c>
      <c r="T315" t="s">
        <v>66</v>
      </c>
      <c r="U315" t="s">
        <v>105</v>
      </c>
      <c r="V315" t="s">
        <v>110</v>
      </c>
      <c r="W315" s="3">
        <v>45471</v>
      </c>
      <c r="X315" t="b">
        <v>0</v>
      </c>
      <c r="Y315" t="b">
        <v>0</v>
      </c>
      <c r="Z315" t="s">
        <v>102</v>
      </c>
      <c r="AA315" t="s">
        <v>71</v>
      </c>
      <c r="AB315">
        <v>7</v>
      </c>
      <c r="AO315" t="str">
        <f t="shared" si="18"/>
        <v>41-60</v>
      </c>
      <c r="BD315">
        <v>4</v>
      </c>
      <c r="BF315" cm="1">
        <f t="array" ref="BF315">CORREL(J315:J1315,S315:S1315)</f>
        <v>-0.0403164144635144</v>
      </c>
      <c r="BH315">
        <v>7</v>
      </c>
      <c r="BI315">
        <f t="shared" si="16"/>
        <v>0.571428571428571</v>
      </c>
      <c r="BJ315">
        <f t="shared" si="17"/>
        <v>12.25</v>
      </c>
    </row>
    <row r="316" spans="1:62">
      <c r="A316" s="1">
        <v>520059914</v>
      </c>
      <c r="B316">
        <v>28</v>
      </c>
      <c r="C316" t="s">
        <v>73</v>
      </c>
      <c r="D316" t="s">
        <v>74</v>
      </c>
      <c r="E316" t="s">
        <v>61</v>
      </c>
      <c r="F316" t="s">
        <v>62</v>
      </c>
      <c r="G316" t="s">
        <v>74</v>
      </c>
      <c r="H316" t="s">
        <v>460</v>
      </c>
      <c r="I316" t="s">
        <v>115</v>
      </c>
      <c r="J316" s="2">
        <v>207.52</v>
      </c>
      <c r="K316">
        <v>4</v>
      </c>
      <c r="L316" t="s">
        <v>78</v>
      </c>
      <c r="M316">
        <v>3</v>
      </c>
      <c r="N316">
        <v>4</v>
      </c>
      <c r="O316">
        <v>1</v>
      </c>
      <c r="P316" t="s">
        <v>84</v>
      </c>
      <c r="Q316" t="s">
        <v>80</v>
      </c>
      <c r="R316">
        <v>1</v>
      </c>
      <c r="S316">
        <v>8</v>
      </c>
      <c r="T316" t="s">
        <v>74</v>
      </c>
      <c r="U316" t="s">
        <v>105</v>
      </c>
      <c r="V316" t="s">
        <v>91</v>
      </c>
      <c r="W316" s="3">
        <v>45510</v>
      </c>
      <c r="X316" t="b">
        <v>0</v>
      </c>
      <c r="Y316" t="b">
        <v>0</v>
      </c>
      <c r="Z316" t="s">
        <v>92</v>
      </c>
      <c r="AA316" t="s">
        <v>71</v>
      </c>
      <c r="AB316">
        <v>2</v>
      </c>
      <c r="AO316" t="str">
        <f t="shared" si="18"/>
        <v>26-40</v>
      </c>
      <c r="BD316">
        <v>4</v>
      </c>
      <c r="BF316" cm="1">
        <f t="array" ref="BF316">CORREL(J316:J1316,S316:S1316)</f>
        <v>-0.0414651303042801</v>
      </c>
      <c r="BH316">
        <v>8</v>
      </c>
      <c r="BI316">
        <f t="shared" si="16"/>
        <v>0.5</v>
      </c>
      <c r="BJ316">
        <f t="shared" si="17"/>
        <v>16</v>
      </c>
    </row>
    <row r="317" spans="1:62">
      <c r="A317" s="1">
        <v>348467805</v>
      </c>
      <c r="B317">
        <v>49</v>
      </c>
      <c r="C317" t="s">
        <v>73</v>
      </c>
      <c r="D317" t="s">
        <v>74</v>
      </c>
      <c r="E317" t="s">
        <v>86</v>
      </c>
      <c r="F317" t="s">
        <v>62</v>
      </c>
      <c r="G317" t="s">
        <v>74</v>
      </c>
      <c r="H317" t="s">
        <v>461</v>
      </c>
      <c r="I317" t="s">
        <v>137</v>
      </c>
      <c r="J317" s="2">
        <v>125.89</v>
      </c>
      <c r="K317">
        <v>7</v>
      </c>
      <c r="L317" t="s">
        <v>78</v>
      </c>
      <c r="M317">
        <v>3</v>
      </c>
      <c r="N317">
        <v>3</v>
      </c>
      <c r="O317">
        <v>2</v>
      </c>
      <c r="P317" t="s">
        <v>84</v>
      </c>
      <c r="Q317" t="s">
        <v>80</v>
      </c>
      <c r="R317">
        <v>1</v>
      </c>
      <c r="S317">
        <v>6</v>
      </c>
      <c r="T317" t="s">
        <v>79</v>
      </c>
      <c r="U317" t="s">
        <v>105</v>
      </c>
      <c r="V317" t="s">
        <v>91</v>
      </c>
      <c r="W317" s="3">
        <v>45618</v>
      </c>
      <c r="X317" t="b">
        <v>0</v>
      </c>
      <c r="Y317" t="b">
        <v>0</v>
      </c>
      <c r="Z317" t="s">
        <v>82</v>
      </c>
      <c r="AA317" t="s">
        <v>71</v>
      </c>
      <c r="AB317">
        <v>13</v>
      </c>
      <c r="AO317" t="str">
        <f t="shared" si="18"/>
        <v>41-60</v>
      </c>
      <c r="BD317">
        <v>7</v>
      </c>
      <c r="BF317" cm="1">
        <f t="array" ref="BF317">CORREL(J317:J1317,S317:S1317)</f>
        <v>-0.040830082742194</v>
      </c>
      <c r="BH317">
        <v>6</v>
      </c>
      <c r="BI317">
        <f t="shared" si="16"/>
        <v>1.16666666666667</v>
      </c>
      <c r="BJ317">
        <f t="shared" si="17"/>
        <v>5.14285714285714</v>
      </c>
    </row>
    <row r="318" spans="1:62">
      <c r="A318" s="1">
        <v>265965461</v>
      </c>
      <c r="B318">
        <v>46</v>
      </c>
      <c r="C318" t="s">
        <v>59</v>
      </c>
      <c r="D318" t="s">
        <v>74</v>
      </c>
      <c r="E318" t="s">
        <v>86</v>
      </c>
      <c r="F318" t="s">
        <v>87</v>
      </c>
      <c r="G318" t="s">
        <v>60</v>
      </c>
      <c r="H318" t="s">
        <v>462</v>
      </c>
      <c r="I318" t="s">
        <v>131</v>
      </c>
      <c r="J318" s="2">
        <v>170.77</v>
      </c>
      <c r="K318">
        <v>9</v>
      </c>
      <c r="L318" t="s">
        <v>85</v>
      </c>
      <c r="M318">
        <v>5</v>
      </c>
      <c r="N318">
        <v>2</v>
      </c>
      <c r="O318">
        <v>1</v>
      </c>
      <c r="P318" t="s">
        <v>79</v>
      </c>
      <c r="Q318" t="s">
        <v>67</v>
      </c>
      <c r="R318">
        <v>2</v>
      </c>
      <c r="S318">
        <v>1</v>
      </c>
      <c r="T318" t="s">
        <v>84</v>
      </c>
      <c r="U318" t="s">
        <v>90</v>
      </c>
      <c r="V318" t="s">
        <v>69</v>
      </c>
      <c r="W318" s="3">
        <v>45508</v>
      </c>
      <c r="X318" t="b">
        <v>0</v>
      </c>
      <c r="Y318" t="b">
        <v>0</v>
      </c>
      <c r="Z318" t="s">
        <v>92</v>
      </c>
      <c r="AA318" t="s">
        <v>71</v>
      </c>
      <c r="AB318">
        <v>4</v>
      </c>
      <c r="AO318" t="str">
        <f t="shared" si="18"/>
        <v>41-60</v>
      </c>
      <c r="BD318">
        <v>9</v>
      </c>
      <c r="BF318" cm="1">
        <f t="array" ref="BF318">CORREL(J318:J1318,S318:S1318)</f>
        <v>-0.0406007930551503</v>
      </c>
      <c r="BH318">
        <v>1</v>
      </c>
      <c r="BI318">
        <f t="shared" si="16"/>
        <v>9</v>
      </c>
      <c r="BJ318">
        <f t="shared" si="17"/>
        <v>0.111111111111111</v>
      </c>
    </row>
    <row r="319" spans="1:62">
      <c r="A319" s="1">
        <v>201578631</v>
      </c>
      <c r="B319">
        <v>44</v>
      </c>
      <c r="C319" t="s">
        <v>59</v>
      </c>
      <c r="D319" t="s">
        <v>74</v>
      </c>
      <c r="E319" t="s">
        <v>103</v>
      </c>
      <c r="F319" t="s">
        <v>87</v>
      </c>
      <c r="G319" t="s">
        <v>74</v>
      </c>
      <c r="H319" t="s">
        <v>463</v>
      </c>
      <c r="I319" t="s">
        <v>131</v>
      </c>
      <c r="J319" s="2">
        <v>63.91</v>
      </c>
      <c r="K319">
        <v>2</v>
      </c>
      <c r="L319" t="s">
        <v>85</v>
      </c>
      <c r="M319">
        <v>1</v>
      </c>
      <c r="N319">
        <v>4</v>
      </c>
      <c r="O319">
        <v>2</v>
      </c>
      <c r="P319" t="s">
        <v>66</v>
      </c>
      <c r="Q319" t="s">
        <v>80</v>
      </c>
      <c r="R319">
        <v>0</v>
      </c>
      <c r="S319">
        <v>6</v>
      </c>
      <c r="T319" t="s">
        <v>79</v>
      </c>
      <c r="U319" t="s">
        <v>90</v>
      </c>
      <c r="V319" t="s">
        <v>110</v>
      </c>
      <c r="W319" s="3">
        <v>45303</v>
      </c>
      <c r="X319" t="b">
        <v>0</v>
      </c>
      <c r="Y319" t="b">
        <v>1</v>
      </c>
      <c r="Z319" t="s">
        <v>102</v>
      </c>
      <c r="AA319" t="s">
        <v>71</v>
      </c>
      <c r="AB319">
        <v>12</v>
      </c>
      <c r="AO319" t="str">
        <f t="shared" si="18"/>
        <v>41-60</v>
      </c>
      <c r="BD319">
        <v>2</v>
      </c>
      <c r="BF319" cm="1">
        <f t="array" ref="BF319">CORREL(J319:J1319,S319:S1319)</f>
        <v>-0.0425886906466566</v>
      </c>
      <c r="BH319">
        <v>6</v>
      </c>
      <c r="BI319">
        <f t="shared" si="16"/>
        <v>0.333333333333333</v>
      </c>
      <c r="BJ319">
        <f t="shared" si="17"/>
        <v>18</v>
      </c>
    </row>
    <row r="320" spans="1:62">
      <c r="A320" s="1">
        <v>911999097</v>
      </c>
      <c r="B320">
        <v>29</v>
      </c>
      <c r="C320" t="s">
        <v>73</v>
      </c>
      <c r="D320" t="s">
        <v>74</v>
      </c>
      <c r="E320" t="s">
        <v>61</v>
      </c>
      <c r="F320" t="s">
        <v>75</v>
      </c>
      <c r="G320" t="s">
        <v>60</v>
      </c>
      <c r="H320" t="s">
        <v>464</v>
      </c>
      <c r="I320" t="s">
        <v>171</v>
      </c>
      <c r="J320" s="2">
        <v>340.55</v>
      </c>
      <c r="K320">
        <v>7</v>
      </c>
      <c r="L320" t="s">
        <v>78</v>
      </c>
      <c r="M320">
        <v>4</v>
      </c>
      <c r="N320">
        <v>5</v>
      </c>
      <c r="O320">
        <v>0</v>
      </c>
      <c r="P320" t="s">
        <v>84</v>
      </c>
      <c r="Q320" t="s">
        <v>80</v>
      </c>
      <c r="R320">
        <v>0</v>
      </c>
      <c r="S320">
        <v>7</v>
      </c>
      <c r="T320" t="s">
        <v>66</v>
      </c>
      <c r="U320" t="s">
        <v>105</v>
      </c>
      <c r="V320" t="s">
        <v>69</v>
      </c>
      <c r="W320" s="3">
        <v>45615</v>
      </c>
      <c r="X320" t="b">
        <v>0</v>
      </c>
      <c r="Y320" t="b">
        <v>1</v>
      </c>
      <c r="Z320" t="s">
        <v>102</v>
      </c>
      <c r="AA320" t="s">
        <v>97</v>
      </c>
      <c r="AB320">
        <v>1</v>
      </c>
      <c r="AO320" t="str">
        <f t="shared" si="18"/>
        <v>26-40</v>
      </c>
      <c r="BD320">
        <v>7</v>
      </c>
      <c r="BF320" cm="1">
        <f t="array" ref="BF320">CORREL(J320:J1320,S320:S1320)</f>
        <v>-0.0422945672986774</v>
      </c>
      <c r="BH320">
        <v>7</v>
      </c>
      <c r="BI320">
        <f t="shared" si="16"/>
        <v>1</v>
      </c>
      <c r="BJ320">
        <f t="shared" si="17"/>
        <v>7</v>
      </c>
    </row>
    <row r="321" spans="1:62">
      <c r="A321" s="1">
        <v>558462579</v>
      </c>
      <c r="B321">
        <v>47</v>
      </c>
      <c r="C321" t="s">
        <v>73</v>
      </c>
      <c r="D321" t="s">
        <v>60</v>
      </c>
      <c r="E321" t="s">
        <v>103</v>
      </c>
      <c r="F321" t="s">
        <v>62</v>
      </c>
      <c r="G321" t="s">
        <v>74</v>
      </c>
      <c r="H321" t="s">
        <v>465</v>
      </c>
      <c r="I321" t="s">
        <v>133</v>
      </c>
      <c r="J321" s="2">
        <v>378.14</v>
      </c>
      <c r="K321">
        <v>6</v>
      </c>
      <c r="L321" t="s">
        <v>65</v>
      </c>
      <c r="M321">
        <v>2</v>
      </c>
      <c r="N321">
        <v>2</v>
      </c>
      <c r="O321">
        <v>1</v>
      </c>
      <c r="P321" t="s">
        <v>79</v>
      </c>
      <c r="Q321" t="s">
        <v>109</v>
      </c>
      <c r="R321">
        <v>1</v>
      </c>
      <c r="S321">
        <v>6</v>
      </c>
      <c r="T321" t="s">
        <v>74</v>
      </c>
      <c r="U321" t="s">
        <v>90</v>
      </c>
      <c r="V321" t="s">
        <v>81</v>
      </c>
      <c r="W321" s="3">
        <v>45539</v>
      </c>
      <c r="X321" t="b">
        <v>0</v>
      </c>
      <c r="Y321" t="b">
        <v>0</v>
      </c>
      <c r="Z321" t="s">
        <v>82</v>
      </c>
      <c r="AA321" t="s">
        <v>83</v>
      </c>
      <c r="AB321">
        <v>7</v>
      </c>
      <c r="AO321" t="str">
        <f t="shared" si="18"/>
        <v>41-60</v>
      </c>
      <c r="BD321">
        <v>6</v>
      </c>
      <c r="BF321" cm="1">
        <f t="array" ref="BF321">CORREL(J321:J1321,S321:S1321)</f>
        <v>-0.0426613724688868</v>
      </c>
      <c r="BH321">
        <v>6</v>
      </c>
      <c r="BI321">
        <f t="shared" si="16"/>
        <v>1</v>
      </c>
      <c r="BJ321">
        <f t="shared" si="17"/>
        <v>6</v>
      </c>
    </row>
    <row r="322" spans="1:62">
      <c r="A322" s="1">
        <v>834557266</v>
      </c>
      <c r="B322">
        <v>37</v>
      </c>
      <c r="C322" t="s">
        <v>59</v>
      </c>
      <c r="D322" t="s">
        <v>60</v>
      </c>
      <c r="E322" t="s">
        <v>61</v>
      </c>
      <c r="F322" t="s">
        <v>62</v>
      </c>
      <c r="G322" t="s">
        <v>60</v>
      </c>
      <c r="H322" t="s">
        <v>214</v>
      </c>
      <c r="I322" t="s">
        <v>137</v>
      </c>
      <c r="J322" s="2">
        <v>235.84</v>
      </c>
      <c r="K322">
        <v>9</v>
      </c>
      <c r="L322" t="s">
        <v>65</v>
      </c>
      <c r="M322">
        <v>5</v>
      </c>
      <c r="N322">
        <v>2</v>
      </c>
      <c r="O322">
        <v>0</v>
      </c>
      <c r="P322" t="s">
        <v>66</v>
      </c>
      <c r="Q322" t="s">
        <v>109</v>
      </c>
      <c r="R322">
        <v>2</v>
      </c>
      <c r="S322">
        <v>3</v>
      </c>
      <c r="T322" t="s">
        <v>66</v>
      </c>
      <c r="U322" t="s">
        <v>105</v>
      </c>
      <c r="V322" t="s">
        <v>110</v>
      </c>
      <c r="W322" s="3">
        <v>45507</v>
      </c>
      <c r="X322" t="b">
        <v>0</v>
      </c>
      <c r="Y322" t="b">
        <v>0</v>
      </c>
      <c r="Z322" t="s">
        <v>102</v>
      </c>
      <c r="AA322" t="s">
        <v>71</v>
      </c>
      <c r="AB322">
        <v>14</v>
      </c>
      <c r="AO322" t="str">
        <f t="shared" si="18"/>
        <v>26-40</v>
      </c>
      <c r="BD322">
        <v>9</v>
      </c>
      <c r="BF322" cm="1">
        <f t="array" ref="BF322">CORREL(J322:J1322,S322:S1322)</f>
        <v>-0.042856639616176</v>
      </c>
      <c r="BH322">
        <v>3</v>
      </c>
      <c r="BI322">
        <f t="shared" si="16"/>
        <v>3</v>
      </c>
      <c r="BJ322">
        <f t="shared" si="17"/>
        <v>1</v>
      </c>
    </row>
    <row r="323" spans="1:62">
      <c r="A323" s="1">
        <v>675999267</v>
      </c>
      <c r="B323">
        <v>47</v>
      </c>
      <c r="C323" t="s">
        <v>73</v>
      </c>
      <c r="D323" t="s">
        <v>74</v>
      </c>
      <c r="E323" t="s">
        <v>98</v>
      </c>
      <c r="F323" t="s">
        <v>75</v>
      </c>
      <c r="G323" t="s">
        <v>60</v>
      </c>
      <c r="H323" t="s">
        <v>466</v>
      </c>
      <c r="I323" t="s">
        <v>143</v>
      </c>
      <c r="J323" s="2">
        <v>164.44</v>
      </c>
      <c r="K323">
        <v>5</v>
      </c>
      <c r="L323" t="s">
        <v>78</v>
      </c>
      <c r="M323">
        <v>5</v>
      </c>
      <c r="N323">
        <v>1</v>
      </c>
      <c r="O323">
        <v>2</v>
      </c>
      <c r="P323" t="s">
        <v>84</v>
      </c>
      <c r="Q323" t="s">
        <v>67</v>
      </c>
      <c r="R323">
        <v>1</v>
      </c>
      <c r="S323">
        <v>10</v>
      </c>
      <c r="T323" t="s">
        <v>74</v>
      </c>
      <c r="U323" t="s">
        <v>90</v>
      </c>
      <c r="V323" t="s">
        <v>96</v>
      </c>
      <c r="W323" s="3">
        <v>45390</v>
      </c>
      <c r="X323" t="b">
        <v>0</v>
      </c>
      <c r="Y323" t="b">
        <v>0</v>
      </c>
      <c r="Z323" t="s">
        <v>92</v>
      </c>
      <c r="AA323" t="s">
        <v>71</v>
      </c>
      <c r="AB323">
        <v>5</v>
      </c>
      <c r="AO323" t="str">
        <f t="shared" si="18"/>
        <v>41-60</v>
      </c>
      <c r="BD323">
        <v>5</v>
      </c>
      <c r="BF323" cm="1">
        <f t="array" ref="BF323">CORREL(J323:J1323,S323:S1323)</f>
        <v>-0.0433051781397088</v>
      </c>
      <c r="BH323">
        <v>10</v>
      </c>
      <c r="BI323">
        <f t="shared" ref="BI323:BI386" si="19">K323/S323</f>
        <v>0.5</v>
      </c>
      <c r="BJ323">
        <f t="shared" ref="BJ323:BJ386" si="20">BH323/BI323</f>
        <v>20</v>
      </c>
    </row>
    <row r="324" spans="1:62">
      <c r="A324" s="1">
        <v>415019276</v>
      </c>
      <c r="B324">
        <v>24</v>
      </c>
      <c r="C324" t="s">
        <v>73</v>
      </c>
      <c r="D324" t="s">
        <v>74</v>
      </c>
      <c r="E324" t="s">
        <v>61</v>
      </c>
      <c r="F324" t="s">
        <v>62</v>
      </c>
      <c r="G324" t="s">
        <v>74</v>
      </c>
      <c r="H324" t="s">
        <v>467</v>
      </c>
      <c r="I324" t="s">
        <v>113</v>
      </c>
      <c r="J324" s="2">
        <v>455.81</v>
      </c>
      <c r="K324">
        <v>3</v>
      </c>
      <c r="L324" t="s">
        <v>85</v>
      </c>
      <c r="M324">
        <v>2</v>
      </c>
      <c r="N324">
        <v>3</v>
      </c>
      <c r="O324">
        <v>1</v>
      </c>
      <c r="P324" t="s">
        <v>84</v>
      </c>
      <c r="Q324" t="s">
        <v>67</v>
      </c>
      <c r="R324">
        <v>1</v>
      </c>
      <c r="S324">
        <v>6</v>
      </c>
      <c r="T324" t="s">
        <v>79</v>
      </c>
      <c r="U324" t="s">
        <v>90</v>
      </c>
      <c r="V324" t="s">
        <v>91</v>
      </c>
      <c r="W324" s="3">
        <v>45403</v>
      </c>
      <c r="X324" t="b">
        <v>0</v>
      </c>
      <c r="Y324" t="b">
        <v>0</v>
      </c>
      <c r="Z324" t="s">
        <v>82</v>
      </c>
      <c r="AA324" t="s">
        <v>97</v>
      </c>
      <c r="AB324">
        <v>6</v>
      </c>
      <c r="AO324" t="str">
        <f t="shared" si="18"/>
        <v>18-25</v>
      </c>
      <c r="BD324">
        <v>3</v>
      </c>
      <c r="BF324" cm="1">
        <f t="array" ref="BF324">CORREL(J324:J1324,S324:S1324)</f>
        <v>-0.0414269388276447</v>
      </c>
      <c r="BH324">
        <v>6</v>
      </c>
      <c r="BI324">
        <f t="shared" si="19"/>
        <v>0.5</v>
      </c>
      <c r="BJ324">
        <f t="shared" si="20"/>
        <v>12</v>
      </c>
    </row>
    <row r="325" spans="1:62">
      <c r="A325" s="1">
        <v>995094653</v>
      </c>
      <c r="B325">
        <v>36</v>
      </c>
      <c r="C325" t="s">
        <v>73</v>
      </c>
      <c r="D325" t="s">
        <v>74</v>
      </c>
      <c r="E325" t="s">
        <v>98</v>
      </c>
      <c r="F325" t="s">
        <v>87</v>
      </c>
      <c r="G325" t="s">
        <v>74</v>
      </c>
      <c r="H325" t="s">
        <v>468</v>
      </c>
      <c r="I325" t="s">
        <v>122</v>
      </c>
      <c r="J325" s="2">
        <v>298.32</v>
      </c>
      <c r="K325">
        <v>7</v>
      </c>
      <c r="L325" t="s">
        <v>78</v>
      </c>
      <c r="M325">
        <v>3</v>
      </c>
      <c r="N325">
        <v>5</v>
      </c>
      <c r="O325">
        <v>1</v>
      </c>
      <c r="P325" t="s">
        <v>84</v>
      </c>
      <c r="Q325" t="s">
        <v>67</v>
      </c>
      <c r="R325">
        <v>2</v>
      </c>
      <c r="S325">
        <v>8</v>
      </c>
      <c r="T325" t="s">
        <v>66</v>
      </c>
      <c r="U325" t="s">
        <v>68</v>
      </c>
      <c r="V325" t="s">
        <v>96</v>
      </c>
      <c r="W325" s="3">
        <v>45460</v>
      </c>
      <c r="X325" t="b">
        <v>1</v>
      </c>
      <c r="Y325" t="b">
        <v>0</v>
      </c>
      <c r="Z325" t="s">
        <v>82</v>
      </c>
      <c r="AA325" t="s">
        <v>83</v>
      </c>
      <c r="AB325">
        <v>12</v>
      </c>
      <c r="AO325" t="str">
        <f t="shared" si="18"/>
        <v>26-40</v>
      </c>
      <c r="BD325">
        <v>7</v>
      </c>
      <c r="BF325" cm="1">
        <f t="array" ref="BF325">CORREL(J325:J1325,S325:S1325)</f>
        <v>-0.0418001499842504</v>
      </c>
      <c r="BH325">
        <v>8</v>
      </c>
      <c r="BI325">
        <f t="shared" si="19"/>
        <v>0.875</v>
      </c>
      <c r="BJ325">
        <f t="shared" si="20"/>
        <v>9.14285714285714</v>
      </c>
    </row>
    <row r="326" spans="1:62">
      <c r="A326" s="1">
        <v>312845722</v>
      </c>
      <c r="B326">
        <v>36</v>
      </c>
      <c r="C326" t="s">
        <v>59</v>
      </c>
      <c r="D326" t="s">
        <v>74</v>
      </c>
      <c r="E326" t="s">
        <v>86</v>
      </c>
      <c r="F326" t="s">
        <v>62</v>
      </c>
      <c r="G326" t="s">
        <v>74</v>
      </c>
      <c r="H326" t="s">
        <v>469</v>
      </c>
      <c r="I326" t="s">
        <v>124</v>
      </c>
      <c r="J326" s="2">
        <v>351.71</v>
      </c>
      <c r="K326">
        <v>7</v>
      </c>
      <c r="L326" t="s">
        <v>78</v>
      </c>
      <c r="M326">
        <v>2</v>
      </c>
      <c r="N326">
        <v>2</v>
      </c>
      <c r="O326">
        <v>0</v>
      </c>
      <c r="P326" t="s">
        <v>79</v>
      </c>
      <c r="Q326" t="s">
        <v>109</v>
      </c>
      <c r="R326">
        <v>1</v>
      </c>
      <c r="S326">
        <v>6</v>
      </c>
      <c r="T326" t="s">
        <v>79</v>
      </c>
      <c r="U326" t="s">
        <v>68</v>
      </c>
      <c r="V326" t="s">
        <v>96</v>
      </c>
      <c r="W326" s="3">
        <v>45370</v>
      </c>
      <c r="X326" t="b">
        <v>1</v>
      </c>
      <c r="Y326" t="b">
        <v>0</v>
      </c>
      <c r="Z326" t="s">
        <v>70</v>
      </c>
      <c r="AA326" t="s">
        <v>83</v>
      </c>
      <c r="AB326">
        <v>8</v>
      </c>
      <c r="AO326" t="str">
        <f t="shared" si="18"/>
        <v>26-40</v>
      </c>
      <c r="BD326">
        <v>7</v>
      </c>
      <c r="BF326" cm="1">
        <f t="array" ref="BF326">CORREL(J326:J1326,S326:S1326)</f>
        <v>-0.0420188291454533</v>
      </c>
      <c r="BH326">
        <v>6</v>
      </c>
      <c r="BI326">
        <f t="shared" si="19"/>
        <v>1.16666666666667</v>
      </c>
      <c r="BJ326">
        <f t="shared" si="20"/>
        <v>5.14285714285714</v>
      </c>
    </row>
    <row r="327" spans="1:62">
      <c r="A327" s="1">
        <v>880009227</v>
      </c>
      <c r="B327">
        <v>49</v>
      </c>
      <c r="C327" t="s">
        <v>73</v>
      </c>
      <c r="D327" t="s">
        <v>60</v>
      </c>
      <c r="E327" t="s">
        <v>103</v>
      </c>
      <c r="F327" t="s">
        <v>62</v>
      </c>
      <c r="G327" t="s">
        <v>60</v>
      </c>
      <c r="H327" t="s">
        <v>470</v>
      </c>
      <c r="I327" t="s">
        <v>137</v>
      </c>
      <c r="J327" s="2">
        <v>393.48</v>
      </c>
      <c r="K327">
        <v>11</v>
      </c>
      <c r="L327" t="s">
        <v>78</v>
      </c>
      <c r="M327">
        <v>2</v>
      </c>
      <c r="N327">
        <v>2</v>
      </c>
      <c r="O327">
        <v>0</v>
      </c>
      <c r="P327" t="s">
        <v>74</v>
      </c>
      <c r="Q327" t="s">
        <v>109</v>
      </c>
      <c r="R327">
        <v>1</v>
      </c>
      <c r="S327">
        <v>10</v>
      </c>
      <c r="T327" t="s">
        <v>66</v>
      </c>
      <c r="U327" t="s">
        <v>68</v>
      </c>
      <c r="V327" t="s">
        <v>96</v>
      </c>
      <c r="W327" s="3">
        <v>45517</v>
      </c>
      <c r="X327" t="b">
        <v>1</v>
      </c>
      <c r="Y327" t="b">
        <v>1</v>
      </c>
      <c r="Z327" t="s">
        <v>70</v>
      </c>
      <c r="AA327" t="s">
        <v>83</v>
      </c>
      <c r="AB327">
        <v>3</v>
      </c>
      <c r="AO327" t="str">
        <f t="shared" si="18"/>
        <v>41-60</v>
      </c>
      <c r="BD327">
        <v>11</v>
      </c>
      <c r="BF327" cm="1">
        <f t="array" ref="BF327">CORREL(J327:J1327,S327:S1327)</f>
        <v>-0.0421624431191461</v>
      </c>
      <c r="BH327">
        <v>10</v>
      </c>
      <c r="BI327">
        <f t="shared" si="19"/>
        <v>1.1</v>
      </c>
      <c r="BJ327">
        <f t="shared" si="20"/>
        <v>9.09090909090909</v>
      </c>
    </row>
    <row r="328" spans="1:62">
      <c r="A328" s="1">
        <v>527269328</v>
      </c>
      <c r="B328">
        <v>19</v>
      </c>
      <c r="C328" t="s">
        <v>150</v>
      </c>
      <c r="D328" t="s">
        <v>74</v>
      </c>
      <c r="E328" t="s">
        <v>86</v>
      </c>
      <c r="F328" t="s">
        <v>75</v>
      </c>
      <c r="G328" t="s">
        <v>74</v>
      </c>
      <c r="H328" t="s">
        <v>471</v>
      </c>
      <c r="I328" t="s">
        <v>89</v>
      </c>
      <c r="J328" s="2">
        <v>241.72</v>
      </c>
      <c r="K328">
        <v>6</v>
      </c>
      <c r="L328" t="s">
        <v>65</v>
      </c>
      <c r="M328">
        <v>5</v>
      </c>
      <c r="N328">
        <v>2</v>
      </c>
      <c r="O328">
        <v>1</v>
      </c>
      <c r="P328" t="s">
        <v>79</v>
      </c>
      <c r="Q328" t="s">
        <v>80</v>
      </c>
      <c r="R328">
        <v>0</v>
      </c>
      <c r="S328">
        <v>8</v>
      </c>
      <c r="T328" t="s">
        <v>74</v>
      </c>
      <c r="U328" t="s">
        <v>105</v>
      </c>
      <c r="V328" t="s">
        <v>91</v>
      </c>
      <c r="W328" s="3">
        <v>45441</v>
      </c>
      <c r="X328" t="b">
        <v>0</v>
      </c>
      <c r="Y328" t="b">
        <v>1</v>
      </c>
      <c r="Z328" t="s">
        <v>102</v>
      </c>
      <c r="AA328" t="s">
        <v>97</v>
      </c>
      <c r="AB328">
        <v>2</v>
      </c>
      <c r="AO328" t="str">
        <f t="shared" si="18"/>
        <v>18-25</v>
      </c>
      <c r="BD328">
        <v>6</v>
      </c>
      <c r="BF328" cm="1">
        <f t="array" ref="BF328">CORREL(J328:J1328,S328:S1328)</f>
        <v>-0.0442887419206256</v>
      </c>
      <c r="BH328">
        <v>8</v>
      </c>
      <c r="BI328">
        <f t="shared" si="19"/>
        <v>0.75</v>
      </c>
      <c r="BJ328">
        <f t="shared" si="20"/>
        <v>10.6666666666667</v>
      </c>
    </row>
    <row r="329" spans="1:62">
      <c r="A329" s="1">
        <v>601985417</v>
      </c>
      <c r="B329">
        <v>27</v>
      </c>
      <c r="C329" t="s">
        <v>59</v>
      </c>
      <c r="D329" t="s">
        <v>74</v>
      </c>
      <c r="E329" t="s">
        <v>86</v>
      </c>
      <c r="F329" t="s">
        <v>62</v>
      </c>
      <c r="G329" t="s">
        <v>74</v>
      </c>
      <c r="H329" t="s">
        <v>424</v>
      </c>
      <c r="I329" t="s">
        <v>133</v>
      </c>
      <c r="J329" s="2">
        <v>280.2</v>
      </c>
      <c r="K329">
        <v>3</v>
      </c>
      <c r="L329" t="s">
        <v>78</v>
      </c>
      <c r="M329">
        <v>4</v>
      </c>
      <c r="N329">
        <v>2</v>
      </c>
      <c r="O329">
        <v>0</v>
      </c>
      <c r="P329" t="s">
        <v>79</v>
      </c>
      <c r="Q329" t="s">
        <v>67</v>
      </c>
      <c r="R329">
        <v>2</v>
      </c>
      <c r="S329">
        <v>7</v>
      </c>
      <c r="T329" t="s">
        <v>66</v>
      </c>
      <c r="U329" t="s">
        <v>105</v>
      </c>
      <c r="V329" t="s">
        <v>96</v>
      </c>
      <c r="W329" s="3">
        <v>45629</v>
      </c>
      <c r="X329" t="b">
        <v>0</v>
      </c>
      <c r="Y329" t="b">
        <v>0</v>
      </c>
      <c r="Z329" t="s">
        <v>70</v>
      </c>
      <c r="AA329" t="s">
        <v>71</v>
      </c>
      <c r="AB329">
        <v>13</v>
      </c>
      <c r="AO329" t="str">
        <f t="shared" si="18"/>
        <v>26-40</v>
      </c>
      <c r="BD329">
        <v>3</v>
      </c>
      <c r="BF329" cm="1">
        <f t="array" ref="BF329">CORREL(J329:J1329,S329:S1329)</f>
        <v>-0.0439659661424062</v>
      </c>
      <c r="BH329">
        <v>7</v>
      </c>
      <c r="BI329">
        <f t="shared" si="19"/>
        <v>0.428571428571429</v>
      </c>
      <c r="BJ329">
        <f t="shared" si="20"/>
        <v>16.3333333333333</v>
      </c>
    </row>
    <row r="330" spans="1:62">
      <c r="A330" s="4" t="s">
        <v>472</v>
      </c>
      <c r="B330">
        <v>36</v>
      </c>
      <c r="C330" t="s">
        <v>59</v>
      </c>
      <c r="D330" t="s">
        <v>60</v>
      </c>
      <c r="E330" t="s">
        <v>86</v>
      </c>
      <c r="F330" t="s">
        <v>87</v>
      </c>
      <c r="G330" t="s">
        <v>60</v>
      </c>
      <c r="H330" t="s">
        <v>473</v>
      </c>
      <c r="I330" t="s">
        <v>147</v>
      </c>
      <c r="J330" s="2">
        <v>178.04</v>
      </c>
      <c r="K330">
        <v>5</v>
      </c>
      <c r="L330" t="s">
        <v>65</v>
      </c>
      <c r="M330">
        <v>1</v>
      </c>
      <c r="N330">
        <v>1</v>
      </c>
      <c r="O330">
        <v>2</v>
      </c>
      <c r="P330" t="s">
        <v>66</v>
      </c>
      <c r="Q330" t="s">
        <v>67</v>
      </c>
      <c r="R330">
        <v>2</v>
      </c>
      <c r="S330">
        <v>10</v>
      </c>
      <c r="T330" t="s">
        <v>74</v>
      </c>
      <c r="U330" t="s">
        <v>90</v>
      </c>
      <c r="V330" t="s">
        <v>69</v>
      </c>
      <c r="W330" s="3">
        <v>45554</v>
      </c>
      <c r="X330" t="b">
        <v>1</v>
      </c>
      <c r="Y330" t="b">
        <v>1</v>
      </c>
      <c r="Z330" t="s">
        <v>92</v>
      </c>
      <c r="AA330" t="s">
        <v>97</v>
      </c>
      <c r="AB330">
        <v>11</v>
      </c>
      <c r="AO330" t="str">
        <f t="shared" si="18"/>
        <v>26-40</v>
      </c>
      <c r="BD330">
        <v>5</v>
      </c>
      <c r="BF330" cm="1">
        <f t="array" ref="BF330">CORREL(J330:J1330,S330:S1330)</f>
        <v>-0.043988445854331</v>
      </c>
      <c r="BH330">
        <v>10</v>
      </c>
      <c r="BI330">
        <f t="shared" si="19"/>
        <v>0.5</v>
      </c>
      <c r="BJ330">
        <f t="shared" si="20"/>
        <v>20</v>
      </c>
    </row>
    <row r="331" spans="1:62">
      <c r="A331" s="1">
        <v>884288409</v>
      </c>
      <c r="B331">
        <v>37</v>
      </c>
      <c r="C331" t="s">
        <v>73</v>
      </c>
      <c r="D331" t="s">
        <v>74</v>
      </c>
      <c r="E331" t="s">
        <v>61</v>
      </c>
      <c r="F331" t="s">
        <v>87</v>
      </c>
      <c r="G331" t="s">
        <v>60</v>
      </c>
      <c r="H331" t="s">
        <v>474</v>
      </c>
      <c r="I331" t="s">
        <v>129</v>
      </c>
      <c r="J331" s="2">
        <v>347.99</v>
      </c>
      <c r="K331">
        <v>5</v>
      </c>
      <c r="L331" t="s">
        <v>65</v>
      </c>
      <c r="M331">
        <v>4</v>
      </c>
      <c r="N331">
        <v>4</v>
      </c>
      <c r="O331">
        <v>1</v>
      </c>
      <c r="P331" t="s">
        <v>84</v>
      </c>
      <c r="Q331" t="s">
        <v>67</v>
      </c>
      <c r="R331">
        <v>0</v>
      </c>
      <c r="S331">
        <v>1</v>
      </c>
      <c r="T331" t="s">
        <v>74</v>
      </c>
      <c r="U331" t="s">
        <v>105</v>
      </c>
      <c r="V331" t="s">
        <v>81</v>
      </c>
      <c r="W331" s="3">
        <v>45373</v>
      </c>
      <c r="X331" t="b">
        <v>1</v>
      </c>
      <c r="Y331" t="b">
        <v>0</v>
      </c>
      <c r="Z331" t="s">
        <v>102</v>
      </c>
      <c r="AA331" t="s">
        <v>83</v>
      </c>
      <c r="AB331">
        <v>6</v>
      </c>
      <c r="AO331" t="str">
        <f t="shared" si="18"/>
        <v>26-40</v>
      </c>
      <c r="BD331">
        <v>5</v>
      </c>
      <c r="BF331" cm="1">
        <f t="array" ref="BF331">CORREL(J331:J1331,S331:S1331)</f>
        <v>-0.0423282515484599</v>
      </c>
      <c r="BH331">
        <v>1</v>
      </c>
      <c r="BI331">
        <f t="shared" si="19"/>
        <v>5</v>
      </c>
      <c r="BJ331">
        <f t="shared" si="20"/>
        <v>0.2</v>
      </c>
    </row>
    <row r="332" spans="1:62">
      <c r="A332" s="1">
        <v>213137424</v>
      </c>
      <c r="B332">
        <v>45</v>
      </c>
      <c r="C332" t="s">
        <v>59</v>
      </c>
      <c r="D332" t="s">
        <v>60</v>
      </c>
      <c r="E332" t="s">
        <v>86</v>
      </c>
      <c r="F332" t="s">
        <v>87</v>
      </c>
      <c r="G332" t="s">
        <v>74</v>
      </c>
      <c r="H332" t="s">
        <v>475</v>
      </c>
      <c r="I332" t="s">
        <v>89</v>
      </c>
      <c r="J332" s="2">
        <v>343.81</v>
      </c>
      <c r="K332">
        <v>3</v>
      </c>
      <c r="L332" t="s">
        <v>78</v>
      </c>
      <c r="M332">
        <v>3</v>
      </c>
      <c r="N332">
        <v>5</v>
      </c>
      <c r="O332">
        <v>0</v>
      </c>
      <c r="P332" t="s">
        <v>74</v>
      </c>
      <c r="Q332" t="s">
        <v>67</v>
      </c>
      <c r="R332">
        <v>0</v>
      </c>
      <c r="S332">
        <v>7</v>
      </c>
      <c r="T332" t="s">
        <v>79</v>
      </c>
      <c r="U332" t="s">
        <v>105</v>
      </c>
      <c r="V332" t="s">
        <v>69</v>
      </c>
      <c r="W332" s="3">
        <v>45344</v>
      </c>
      <c r="X332" t="b">
        <v>0</v>
      </c>
      <c r="Y332" t="b">
        <v>1</v>
      </c>
      <c r="Z332" t="s">
        <v>70</v>
      </c>
      <c r="AA332" t="s">
        <v>83</v>
      </c>
      <c r="AB332">
        <v>3</v>
      </c>
      <c r="AO332" t="str">
        <f t="shared" si="18"/>
        <v>41-60</v>
      </c>
      <c r="BD332">
        <v>3</v>
      </c>
      <c r="BF332" cm="1">
        <f t="array" ref="BF332">CORREL(J332:J1332,S332:S1332)</f>
        <v>-0.041167652232829</v>
      </c>
      <c r="BH332">
        <v>7</v>
      </c>
      <c r="BI332">
        <f t="shared" si="19"/>
        <v>0.428571428571429</v>
      </c>
      <c r="BJ332">
        <f t="shared" si="20"/>
        <v>16.3333333333333</v>
      </c>
    </row>
    <row r="333" spans="1:62">
      <c r="A333" s="1">
        <v>799737862</v>
      </c>
      <c r="B333">
        <v>47</v>
      </c>
      <c r="C333" t="s">
        <v>59</v>
      </c>
      <c r="D333" t="s">
        <v>60</v>
      </c>
      <c r="E333" t="s">
        <v>61</v>
      </c>
      <c r="F333" t="s">
        <v>87</v>
      </c>
      <c r="G333" t="s">
        <v>60</v>
      </c>
      <c r="H333" t="s">
        <v>476</v>
      </c>
      <c r="I333" t="s">
        <v>120</v>
      </c>
      <c r="J333" s="2">
        <v>105.29</v>
      </c>
      <c r="K333">
        <v>7</v>
      </c>
      <c r="L333" t="s">
        <v>78</v>
      </c>
      <c r="M333">
        <v>2</v>
      </c>
      <c r="N333">
        <v>5</v>
      </c>
      <c r="O333">
        <v>0</v>
      </c>
      <c r="P333" t="s">
        <v>84</v>
      </c>
      <c r="Q333" t="s">
        <v>109</v>
      </c>
      <c r="R333">
        <v>0</v>
      </c>
      <c r="S333">
        <v>1</v>
      </c>
      <c r="T333" t="s">
        <v>74</v>
      </c>
      <c r="U333" t="s">
        <v>105</v>
      </c>
      <c r="V333" t="s">
        <v>110</v>
      </c>
      <c r="W333" s="3">
        <v>45651</v>
      </c>
      <c r="X333" t="b">
        <v>0</v>
      </c>
      <c r="Y333" t="b">
        <v>1</v>
      </c>
      <c r="Z333" t="s">
        <v>70</v>
      </c>
      <c r="AA333" t="s">
        <v>97</v>
      </c>
      <c r="AB333">
        <v>4</v>
      </c>
      <c r="AO333" t="str">
        <f t="shared" si="18"/>
        <v>41-60</v>
      </c>
      <c r="BD333">
        <v>7</v>
      </c>
      <c r="BF333" cm="1">
        <f t="array" ref="BF333">CORREL(J333:J1333,S333:S1333)</f>
        <v>-0.0415676477058366</v>
      </c>
      <c r="BH333">
        <v>1</v>
      </c>
      <c r="BI333">
        <f t="shared" si="19"/>
        <v>7</v>
      </c>
      <c r="BJ333">
        <f t="shared" si="20"/>
        <v>0.142857142857143</v>
      </c>
    </row>
    <row r="334" spans="1:62">
      <c r="A334" s="1">
        <v>818143498</v>
      </c>
      <c r="B334">
        <v>32</v>
      </c>
      <c r="C334" t="s">
        <v>73</v>
      </c>
      <c r="D334" t="s">
        <v>60</v>
      </c>
      <c r="E334" t="s">
        <v>86</v>
      </c>
      <c r="F334" t="s">
        <v>75</v>
      </c>
      <c r="G334" t="s">
        <v>60</v>
      </c>
      <c r="H334" t="s">
        <v>477</v>
      </c>
      <c r="I334" t="s">
        <v>124</v>
      </c>
      <c r="J334" s="2">
        <v>483.66</v>
      </c>
      <c r="K334">
        <v>3</v>
      </c>
      <c r="L334" t="s">
        <v>85</v>
      </c>
      <c r="M334">
        <v>1</v>
      </c>
      <c r="N334">
        <v>4</v>
      </c>
      <c r="O334">
        <v>1</v>
      </c>
      <c r="P334" t="s">
        <v>79</v>
      </c>
      <c r="Q334" t="s">
        <v>80</v>
      </c>
      <c r="R334">
        <v>2</v>
      </c>
      <c r="S334">
        <v>1</v>
      </c>
      <c r="T334" t="s">
        <v>79</v>
      </c>
      <c r="U334" t="s">
        <v>105</v>
      </c>
      <c r="V334" t="s">
        <v>96</v>
      </c>
      <c r="W334" s="3">
        <v>45531</v>
      </c>
      <c r="X334" t="b">
        <v>0</v>
      </c>
      <c r="Y334" t="b">
        <v>0</v>
      </c>
      <c r="Z334" t="s">
        <v>92</v>
      </c>
      <c r="AA334" t="s">
        <v>83</v>
      </c>
      <c r="AB334">
        <v>9</v>
      </c>
      <c r="AO334" t="str">
        <f t="shared" si="18"/>
        <v>26-40</v>
      </c>
      <c r="BD334">
        <v>3</v>
      </c>
      <c r="BF334" cm="1">
        <f t="array" ref="BF334">CORREL(J334:J1334,S334:S1334)</f>
        <v>-0.0447914110193546</v>
      </c>
      <c r="BH334">
        <v>1</v>
      </c>
      <c r="BI334">
        <f t="shared" si="19"/>
        <v>3</v>
      </c>
      <c r="BJ334">
        <f t="shared" si="20"/>
        <v>0.333333333333333</v>
      </c>
    </row>
    <row r="335" spans="1:62">
      <c r="A335" s="1">
        <v>343758138</v>
      </c>
      <c r="B335">
        <v>48</v>
      </c>
      <c r="C335" t="s">
        <v>73</v>
      </c>
      <c r="D335" t="s">
        <v>60</v>
      </c>
      <c r="E335" t="s">
        <v>61</v>
      </c>
      <c r="F335" t="s">
        <v>62</v>
      </c>
      <c r="G335" t="s">
        <v>60</v>
      </c>
      <c r="H335" t="s">
        <v>478</v>
      </c>
      <c r="I335" t="s">
        <v>95</v>
      </c>
      <c r="J335" s="2">
        <v>69.41</v>
      </c>
      <c r="K335">
        <v>8</v>
      </c>
      <c r="L335" t="s">
        <v>65</v>
      </c>
      <c r="M335">
        <v>5</v>
      </c>
      <c r="N335">
        <v>3</v>
      </c>
      <c r="O335">
        <v>0</v>
      </c>
      <c r="P335" t="s">
        <v>74</v>
      </c>
      <c r="Q335" t="s">
        <v>67</v>
      </c>
      <c r="R335">
        <v>1</v>
      </c>
      <c r="S335">
        <v>9</v>
      </c>
      <c r="T335" t="s">
        <v>74</v>
      </c>
      <c r="U335" t="s">
        <v>68</v>
      </c>
      <c r="V335" t="s">
        <v>110</v>
      </c>
      <c r="W335" s="3">
        <v>45319</v>
      </c>
      <c r="X335" t="b">
        <v>0</v>
      </c>
      <c r="Y335" t="b">
        <v>0</v>
      </c>
      <c r="Z335" t="s">
        <v>82</v>
      </c>
      <c r="AA335" t="s">
        <v>83</v>
      </c>
      <c r="AB335">
        <v>5</v>
      </c>
      <c r="AO335" t="str">
        <f t="shared" si="18"/>
        <v>41-60</v>
      </c>
      <c r="BD335">
        <v>8</v>
      </c>
      <c r="BF335" cm="1">
        <f t="array" ref="BF335">CORREL(J335:J1335,S335:S1335)</f>
        <v>-0.041251802242542</v>
      </c>
      <c r="BH335">
        <v>9</v>
      </c>
      <c r="BI335">
        <f t="shared" si="19"/>
        <v>0.888888888888889</v>
      </c>
      <c r="BJ335">
        <f t="shared" si="20"/>
        <v>10.125</v>
      </c>
    </row>
    <row r="336" spans="1:62">
      <c r="A336" s="4" t="s">
        <v>479</v>
      </c>
      <c r="B336">
        <v>20</v>
      </c>
      <c r="C336" t="s">
        <v>150</v>
      </c>
      <c r="D336" t="s">
        <v>74</v>
      </c>
      <c r="E336" t="s">
        <v>86</v>
      </c>
      <c r="F336" t="s">
        <v>87</v>
      </c>
      <c r="G336" t="s">
        <v>60</v>
      </c>
      <c r="H336" t="s">
        <v>480</v>
      </c>
      <c r="I336" t="s">
        <v>137</v>
      </c>
      <c r="J336" s="2">
        <v>207.18</v>
      </c>
      <c r="K336">
        <v>11</v>
      </c>
      <c r="L336" t="s">
        <v>85</v>
      </c>
      <c r="M336">
        <v>1</v>
      </c>
      <c r="N336">
        <v>3</v>
      </c>
      <c r="O336">
        <v>0</v>
      </c>
      <c r="P336" t="s">
        <v>84</v>
      </c>
      <c r="Q336" t="s">
        <v>67</v>
      </c>
      <c r="R336">
        <v>1</v>
      </c>
      <c r="S336">
        <v>5</v>
      </c>
      <c r="T336" t="s">
        <v>74</v>
      </c>
      <c r="U336" t="s">
        <v>68</v>
      </c>
      <c r="V336" t="s">
        <v>81</v>
      </c>
      <c r="W336" s="3">
        <v>45612</v>
      </c>
      <c r="X336" t="b">
        <v>0</v>
      </c>
      <c r="Y336" t="b">
        <v>0</v>
      </c>
      <c r="Z336" t="s">
        <v>82</v>
      </c>
      <c r="AA336" t="s">
        <v>83</v>
      </c>
      <c r="AB336">
        <v>8</v>
      </c>
      <c r="AO336" t="str">
        <f t="shared" si="18"/>
        <v>18-25</v>
      </c>
      <c r="BD336">
        <v>11</v>
      </c>
      <c r="BF336" cm="1">
        <f t="array" ref="BF336">CORREL(J336:J1336,S336:S1336)</f>
        <v>-0.038495442208602</v>
      </c>
      <c r="BH336">
        <v>5</v>
      </c>
      <c r="BI336">
        <f t="shared" si="19"/>
        <v>2.2</v>
      </c>
      <c r="BJ336">
        <f t="shared" si="20"/>
        <v>2.27272727272727</v>
      </c>
    </row>
    <row r="337" spans="1:62">
      <c r="A337" s="1">
        <v>619517929</v>
      </c>
      <c r="B337">
        <v>32</v>
      </c>
      <c r="C337" t="s">
        <v>73</v>
      </c>
      <c r="D337" t="s">
        <v>60</v>
      </c>
      <c r="E337" t="s">
        <v>103</v>
      </c>
      <c r="F337" t="s">
        <v>75</v>
      </c>
      <c r="G337" t="s">
        <v>74</v>
      </c>
      <c r="H337" t="s">
        <v>481</v>
      </c>
      <c r="I337" t="s">
        <v>147</v>
      </c>
      <c r="J337" s="2">
        <v>454.15</v>
      </c>
      <c r="K337">
        <v>11</v>
      </c>
      <c r="L337" t="s">
        <v>78</v>
      </c>
      <c r="M337">
        <v>2</v>
      </c>
      <c r="N337">
        <v>1</v>
      </c>
      <c r="O337">
        <v>1</v>
      </c>
      <c r="P337" t="s">
        <v>74</v>
      </c>
      <c r="Q337" t="s">
        <v>80</v>
      </c>
      <c r="R337">
        <v>1</v>
      </c>
      <c r="S337">
        <v>8</v>
      </c>
      <c r="T337" t="s">
        <v>74</v>
      </c>
      <c r="U337" t="s">
        <v>90</v>
      </c>
      <c r="V337" t="s">
        <v>110</v>
      </c>
      <c r="W337" s="3">
        <v>45634</v>
      </c>
      <c r="X337" t="b">
        <v>1</v>
      </c>
      <c r="Y337" t="b">
        <v>1</v>
      </c>
      <c r="Z337" t="s">
        <v>102</v>
      </c>
      <c r="AA337" t="s">
        <v>97</v>
      </c>
      <c r="AB337">
        <v>13</v>
      </c>
      <c r="AO337" t="str">
        <f t="shared" si="18"/>
        <v>26-40</v>
      </c>
      <c r="BD337">
        <v>11</v>
      </c>
      <c r="BF337" cm="1">
        <f t="array" ref="BF337">CORREL(J337:J1337,S337:S1337)</f>
        <v>-0.0386549962445077</v>
      </c>
      <c r="BH337">
        <v>8</v>
      </c>
      <c r="BI337">
        <f t="shared" si="19"/>
        <v>1.375</v>
      </c>
      <c r="BJ337">
        <f t="shared" si="20"/>
        <v>5.81818181818182</v>
      </c>
    </row>
    <row r="338" spans="1:62">
      <c r="A338" s="1">
        <v>536670793</v>
      </c>
      <c r="B338">
        <v>25</v>
      </c>
      <c r="C338" t="s">
        <v>73</v>
      </c>
      <c r="D338" t="s">
        <v>74</v>
      </c>
      <c r="E338" t="s">
        <v>98</v>
      </c>
      <c r="F338" t="s">
        <v>75</v>
      </c>
      <c r="G338" t="s">
        <v>74</v>
      </c>
      <c r="H338" t="s">
        <v>482</v>
      </c>
      <c r="I338" t="s">
        <v>156</v>
      </c>
      <c r="J338" s="2">
        <v>113.01</v>
      </c>
      <c r="K338">
        <v>11</v>
      </c>
      <c r="L338" t="s">
        <v>78</v>
      </c>
      <c r="M338">
        <v>5</v>
      </c>
      <c r="N338">
        <v>2</v>
      </c>
      <c r="O338">
        <v>2</v>
      </c>
      <c r="P338" t="s">
        <v>84</v>
      </c>
      <c r="Q338" t="s">
        <v>109</v>
      </c>
      <c r="R338">
        <v>1</v>
      </c>
      <c r="S338">
        <v>1</v>
      </c>
      <c r="T338" t="s">
        <v>66</v>
      </c>
      <c r="U338" t="s">
        <v>68</v>
      </c>
      <c r="V338" t="s">
        <v>69</v>
      </c>
      <c r="W338" s="3">
        <v>45427</v>
      </c>
      <c r="X338" t="b">
        <v>0</v>
      </c>
      <c r="Y338" t="b">
        <v>1</v>
      </c>
      <c r="Z338" t="s">
        <v>92</v>
      </c>
      <c r="AA338" t="s">
        <v>97</v>
      </c>
      <c r="AB338">
        <v>4</v>
      </c>
      <c r="AO338" t="str">
        <f t="shared" si="18"/>
        <v>18-25</v>
      </c>
      <c r="BD338">
        <v>11</v>
      </c>
      <c r="BF338" cm="1">
        <f t="array" ref="BF338">CORREL(J338:J1338,S338:S1338)</f>
        <v>-0.0404647743087406</v>
      </c>
      <c r="BH338">
        <v>1</v>
      </c>
      <c r="BI338">
        <f t="shared" si="19"/>
        <v>11</v>
      </c>
      <c r="BJ338">
        <f t="shared" si="20"/>
        <v>0.0909090909090909</v>
      </c>
    </row>
    <row r="339" spans="1:62">
      <c r="A339" s="1">
        <v>612121117</v>
      </c>
      <c r="B339">
        <v>42</v>
      </c>
      <c r="C339" t="s">
        <v>73</v>
      </c>
      <c r="D339" t="s">
        <v>60</v>
      </c>
      <c r="E339" t="s">
        <v>103</v>
      </c>
      <c r="F339" t="s">
        <v>62</v>
      </c>
      <c r="G339" t="s">
        <v>60</v>
      </c>
      <c r="H339" t="s">
        <v>483</v>
      </c>
      <c r="I339" t="s">
        <v>129</v>
      </c>
      <c r="J339" s="2">
        <v>419.13</v>
      </c>
      <c r="K339">
        <v>4</v>
      </c>
      <c r="L339" t="s">
        <v>65</v>
      </c>
      <c r="M339">
        <v>3</v>
      </c>
      <c r="N339">
        <v>5</v>
      </c>
      <c r="O339">
        <v>1</v>
      </c>
      <c r="P339" t="s">
        <v>66</v>
      </c>
      <c r="Q339" t="s">
        <v>80</v>
      </c>
      <c r="R339">
        <v>0</v>
      </c>
      <c r="S339">
        <v>1</v>
      </c>
      <c r="T339" t="s">
        <v>66</v>
      </c>
      <c r="U339" t="s">
        <v>90</v>
      </c>
      <c r="V339" t="s">
        <v>110</v>
      </c>
      <c r="W339" s="3">
        <v>45507</v>
      </c>
      <c r="X339" t="b">
        <v>0</v>
      </c>
      <c r="Y339" t="b">
        <v>1</v>
      </c>
      <c r="Z339" t="s">
        <v>82</v>
      </c>
      <c r="AA339" t="s">
        <v>97</v>
      </c>
      <c r="AB339">
        <v>6</v>
      </c>
      <c r="AO339" t="str">
        <f t="shared" si="18"/>
        <v>41-60</v>
      </c>
      <c r="BD339">
        <v>4</v>
      </c>
      <c r="BF339" cm="1">
        <f t="array" ref="BF339">CORREL(J339:J1339,S339:S1339)</f>
        <v>-0.0435847295464661</v>
      </c>
      <c r="BH339">
        <v>1</v>
      </c>
      <c r="BI339">
        <f t="shared" si="19"/>
        <v>4</v>
      </c>
      <c r="BJ339">
        <f t="shared" si="20"/>
        <v>0.25</v>
      </c>
    </row>
    <row r="340" spans="1:62">
      <c r="A340" s="4" t="s">
        <v>484</v>
      </c>
      <c r="B340">
        <v>37</v>
      </c>
      <c r="C340" t="s">
        <v>59</v>
      </c>
      <c r="D340" t="s">
        <v>74</v>
      </c>
      <c r="E340" t="s">
        <v>86</v>
      </c>
      <c r="F340" t="s">
        <v>62</v>
      </c>
      <c r="G340" t="s">
        <v>74</v>
      </c>
      <c r="H340" t="s">
        <v>485</v>
      </c>
      <c r="I340" t="s">
        <v>209</v>
      </c>
      <c r="J340" s="2">
        <v>183.86</v>
      </c>
      <c r="K340">
        <v>5</v>
      </c>
      <c r="L340" t="s">
        <v>65</v>
      </c>
      <c r="M340">
        <v>1</v>
      </c>
      <c r="N340">
        <v>1</v>
      </c>
      <c r="O340">
        <v>2</v>
      </c>
      <c r="P340" t="s">
        <v>79</v>
      </c>
      <c r="Q340" t="s">
        <v>80</v>
      </c>
      <c r="R340">
        <v>1</v>
      </c>
      <c r="S340">
        <v>4</v>
      </c>
      <c r="T340" t="s">
        <v>84</v>
      </c>
      <c r="U340" t="s">
        <v>90</v>
      </c>
      <c r="V340" t="s">
        <v>91</v>
      </c>
      <c r="W340" s="3">
        <v>45572</v>
      </c>
      <c r="X340" t="b">
        <v>0</v>
      </c>
      <c r="Y340" t="b">
        <v>1</v>
      </c>
      <c r="Z340" t="s">
        <v>82</v>
      </c>
      <c r="AA340" t="s">
        <v>83</v>
      </c>
      <c r="AB340">
        <v>3</v>
      </c>
      <c r="AO340" t="str">
        <f t="shared" si="18"/>
        <v>26-40</v>
      </c>
      <c r="BD340">
        <v>5</v>
      </c>
      <c r="BF340" cm="1">
        <f t="array" ref="BF340">CORREL(J340:J1340,S340:S1340)</f>
        <v>-0.0411343289763323</v>
      </c>
      <c r="BH340">
        <v>4</v>
      </c>
      <c r="BI340">
        <f t="shared" si="19"/>
        <v>1.25</v>
      </c>
      <c r="BJ340">
        <f t="shared" si="20"/>
        <v>3.2</v>
      </c>
    </row>
    <row r="341" spans="1:62">
      <c r="A341" s="1">
        <v>274635671</v>
      </c>
      <c r="B341">
        <v>21</v>
      </c>
      <c r="C341" t="s">
        <v>150</v>
      </c>
      <c r="D341" t="s">
        <v>60</v>
      </c>
      <c r="E341" t="s">
        <v>98</v>
      </c>
      <c r="F341" t="s">
        <v>87</v>
      </c>
      <c r="G341" t="s">
        <v>60</v>
      </c>
      <c r="H341" t="s">
        <v>486</v>
      </c>
      <c r="I341" t="s">
        <v>129</v>
      </c>
      <c r="J341" s="2">
        <v>53.87</v>
      </c>
      <c r="K341">
        <v>10</v>
      </c>
      <c r="L341" t="s">
        <v>78</v>
      </c>
      <c r="M341">
        <v>4</v>
      </c>
      <c r="N341">
        <v>3</v>
      </c>
      <c r="O341">
        <v>0</v>
      </c>
      <c r="P341" t="s">
        <v>79</v>
      </c>
      <c r="Q341" t="s">
        <v>109</v>
      </c>
      <c r="R341">
        <v>0</v>
      </c>
      <c r="S341">
        <v>10</v>
      </c>
      <c r="T341" t="s">
        <v>74</v>
      </c>
      <c r="U341" t="s">
        <v>68</v>
      </c>
      <c r="V341" t="s">
        <v>110</v>
      </c>
      <c r="W341" s="3">
        <v>45468</v>
      </c>
      <c r="X341" t="b">
        <v>1</v>
      </c>
      <c r="Y341" t="b">
        <v>0</v>
      </c>
      <c r="Z341" t="s">
        <v>102</v>
      </c>
      <c r="AA341" t="s">
        <v>71</v>
      </c>
      <c r="AB341">
        <v>2</v>
      </c>
      <c r="AO341" t="str">
        <f t="shared" si="18"/>
        <v>18-25</v>
      </c>
      <c r="BD341">
        <v>10</v>
      </c>
      <c r="BF341" cm="1">
        <f t="array" ref="BF341">CORREL(J341:J1341,S341:S1341)</f>
        <v>-0.0417430053354104</v>
      </c>
      <c r="BH341">
        <v>10</v>
      </c>
      <c r="BI341">
        <f t="shared" si="19"/>
        <v>1</v>
      </c>
      <c r="BJ341">
        <f t="shared" si="20"/>
        <v>10</v>
      </c>
    </row>
    <row r="342" spans="1:62">
      <c r="A342" s="1">
        <v>533803968</v>
      </c>
      <c r="B342">
        <v>43</v>
      </c>
      <c r="C342" t="s">
        <v>59</v>
      </c>
      <c r="D342" t="s">
        <v>74</v>
      </c>
      <c r="E342" t="s">
        <v>98</v>
      </c>
      <c r="F342" t="s">
        <v>62</v>
      </c>
      <c r="G342" t="s">
        <v>74</v>
      </c>
      <c r="H342" t="s">
        <v>487</v>
      </c>
      <c r="I342" t="s">
        <v>77</v>
      </c>
      <c r="J342" s="2">
        <v>427.82</v>
      </c>
      <c r="K342">
        <v>9</v>
      </c>
      <c r="L342" t="s">
        <v>78</v>
      </c>
      <c r="M342">
        <v>5</v>
      </c>
      <c r="N342">
        <v>5</v>
      </c>
      <c r="O342">
        <v>0</v>
      </c>
      <c r="P342" t="s">
        <v>79</v>
      </c>
      <c r="Q342" t="s">
        <v>67</v>
      </c>
      <c r="R342">
        <v>1</v>
      </c>
      <c r="S342">
        <v>2</v>
      </c>
      <c r="T342" t="s">
        <v>79</v>
      </c>
      <c r="U342" t="s">
        <v>105</v>
      </c>
      <c r="V342" t="s">
        <v>81</v>
      </c>
      <c r="W342" s="3">
        <v>45386</v>
      </c>
      <c r="X342" t="b">
        <v>1</v>
      </c>
      <c r="Y342" t="b">
        <v>0</v>
      </c>
      <c r="Z342" t="s">
        <v>82</v>
      </c>
      <c r="AA342" t="s">
        <v>71</v>
      </c>
      <c r="AB342">
        <v>14</v>
      </c>
      <c r="AO342" t="str">
        <f t="shared" si="18"/>
        <v>41-60</v>
      </c>
      <c r="BD342">
        <v>9</v>
      </c>
      <c r="BF342" cm="1">
        <f t="array" ref="BF342">CORREL(J342:J1342,S342:S1342)</f>
        <v>-0.0378755248521757</v>
      </c>
      <c r="BH342">
        <v>2</v>
      </c>
      <c r="BI342">
        <f t="shared" si="19"/>
        <v>4.5</v>
      </c>
      <c r="BJ342">
        <f t="shared" si="20"/>
        <v>0.444444444444444</v>
      </c>
    </row>
    <row r="343" spans="1:62">
      <c r="A343" s="1">
        <v>429690735</v>
      </c>
      <c r="B343">
        <v>29</v>
      </c>
      <c r="C343" t="s">
        <v>59</v>
      </c>
      <c r="D343" t="s">
        <v>74</v>
      </c>
      <c r="E343" t="s">
        <v>103</v>
      </c>
      <c r="F343" t="s">
        <v>62</v>
      </c>
      <c r="G343" t="s">
        <v>60</v>
      </c>
      <c r="H343" t="s">
        <v>488</v>
      </c>
      <c r="I343" t="s">
        <v>129</v>
      </c>
      <c r="J343" s="2">
        <v>282.82</v>
      </c>
      <c r="K343">
        <v>6</v>
      </c>
      <c r="L343" t="s">
        <v>78</v>
      </c>
      <c r="M343">
        <v>5</v>
      </c>
      <c r="N343">
        <v>3</v>
      </c>
      <c r="O343">
        <v>2</v>
      </c>
      <c r="P343" t="s">
        <v>79</v>
      </c>
      <c r="Q343" t="s">
        <v>109</v>
      </c>
      <c r="R343">
        <v>2</v>
      </c>
      <c r="S343">
        <v>7</v>
      </c>
      <c r="T343" t="s">
        <v>66</v>
      </c>
      <c r="U343" t="s">
        <v>105</v>
      </c>
      <c r="V343" t="s">
        <v>96</v>
      </c>
      <c r="W343" s="3">
        <v>45351</v>
      </c>
      <c r="X343" t="b">
        <v>0</v>
      </c>
      <c r="Y343" t="b">
        <v>1</v>
      </c>
      <c r="Z343" t="s">
        <v>82</v>
      </c>
      <c r="AA343" t="s">
        <v>83</v>
      </c>
      <c r="AB343">
        <v>3</v>
      </c>
      <c r="AO343" t="str">
        <f t="shared" si="18"/>
        <v>26-40</v>
      </c>
      <c r="BD343">
        <v>6</v>
      </c>
      <c r="BF343" cm="1">
        <f t="array" ref="BF343">CORREL(J343:J1343,S343:S1343)</f>
        <v>-0.0358162676606383</v>
      </c>
      <c r="BH343">
        <v>7</v>
      </c>
      <c r="BI343">
        <f t="shared" si="19"/>
        <v>0.857142857142857</v>
      </c>
      <c r="BJ343">
        <f t="shared" si="20"/>
        <v>8.16666666666667</v>
      </c>
    </row>
    <row r="344" spans="1:62">
      <c r="A344" s="1">
        <v>124405464</v>
      </c>
      <c r="B344">
        <v>28</v>
      </c>
      <c r="C344" t="s">
        <v>73</v>
      </c>
      <c r="D344" t="s">
        <v>60</v>
      </c>
      <c r="E344" t="s">
        <v>103</v>
      </c>
      <c r="F344" t="s">
        <v>87</v>
      </c>
      <c r="G344" t="s">
        <v>60</v>
      </c>
      <c r="H344" t="s">
        <v>489</v>
      </c>
      <c r="I344" t="s">
        <v>131</v>
      </c>
      <c r="J344" s="2">
        <v>215.31</v>
      </c>
      <c r="K344">
        <v>7</v>
      </c>
      <c r="L344" t="s">
        <v>85</v>
      </c>
      <c r="M344">
        <v>5</v>
      </c>
      <c r="N344">
        <v>5</v>
      </c>
      <c r="O344">
        <v>2</v>
      </c>
      <c r="P344" t="s">
        <v>79</v>
      </c>
      <c r="Q344" t="s">
        <v>67</v>
      </c>
      <c r="R344">
        <v>1</v>
      </c>
      <c r="S344">
        <v>8</v>
      </c>
      <c r="T344" t="s">
        <v>79</v>
      </c>
      <c r="U344" t="s">
        <v>90</v>
      </c>
      <c r="V344" t="s">
        <v>96</v>
      </c>
      <c r="W344" s="3">
        <v>45391</v>
      </c>
      <c r="X344" t="b">
        <v>0</v>
      </c>
      <c r="Y344" t="b">
        <v>1</v>
      </c>
      <c r="Z344" t="s">
        <v>92</v>
      </c>
      <c r="AA344" t="s">
        <v>71</v>
      </c>
      <c r="AB344">
        <v>7</v>
      </c>
      <c r="AO344" t="str">
        <f t="shared" si="18"/>
        <v>26-40</v>
      </c>
      <c r="BD344">
        <v>7</v>
      </c>
      <c r="BF344" cm="1">
        <f t="array" ref="BF344">CORREL(J344:J1344,S344:S1344)</f>
        <v>-0.0358509608891291</v>
      </c>
      <c r="BH344">
        <v>8</v>
      </c>
      <c r="BI344">
        <f t="shared" si="19"/>
        <v>0.875</v>
      </c>
      <c r="BJ344">
        <f t="shared" si="20"/>
        <v>9.14285714285714</v>
      </c>
    </row>
    <row r="345" spans="1:62">
      <c r="A345" s="1">
        <v>334672534</v>
      </c>
      <c r="B345">
        <v>43</v>
      </c>
      <c r="C345" t="s">
        <v>73</v>
      </c>
      <c r="D345" t="s">
        <v>60</v>
      </c>
      <c r="E345" t="s">
        <v>98</v>
      </c>
      <c r="F345" t="s">
        <v>87</v>
      </c>
      <c r="G345" t="s">
        <v>74</v>
      </c>
      <c r="H345" t="s">
        <v>490</v>
      </c>
      <c r="I345" t="s">
        <v>100</v>
      </c>
      <c r="J345" s="2">
        <v>183.66</v>
      </c>
      <c r="K345">
        <v>11</v>
      </c>
      <c r="L345" t="s">
        <v>85</v>
      </c>
      <c r="M345">
        <v>3</v>
      </c>
      <c r="N345">
        <v>1</v>
      </c>
      <c r="O345">
        <v>1</v>
      </c>
      <c r="P345" t="s">
        <v>84</v>
      </c>
      <c r="Q345" t="s">
        <v>109</v>
      </c>
      <c r="R345">
        <v>0</v>
      </c>
      <c r="S345">
        <v>10</v>
      </c>
      <c r="T345" t="s">
        <v>79</v>
      </c>
      <c r="U345" t="s">
        <v>68</v>
      </c>
      <c r="V345" t="s">
        <v>69</v>
      </c>
      <c r="W345" s="3">
        <v>45400</v>
      </c>
      <c r="X345" t="b">
        <v>1</v>
      </c>
      <c r="Y345" t="b">
        <v>1</v>
      </c>
      <c r="Z345" t="s">
        <v>102</v>
      </c>
      <c r="AA345" t="s">
        <v>71</v>
      </c>
      <c r="AB345">
        <v>6</v>
      </c>
      <c r="AO345" t="str">
        <f t="shared" si="18"/>
        <v>41-60</v>
      </c>
      <c r="BD345">
        <v>11</v>
      </c>
      <c r="BF345" cm="1">
        <f t="array" ref="BF345">CORREL(J345:J1345,S345:S1345)</f>
        <v>-0.0352512075048254</v>
      </c>
      <c r="BH345">
        <v>10</v>
      </c>
      <c r="BI345">
        <f t="shared" si="19"/>
        <v>1.1</v>
      </c>
      <c r="BJ345">
        <f t="shared" si="20"/>
        <v>9.09090909090909</v>
      </c>
    </row>
    <row r="346" spans="1:62">
      <c r="A346" s="1">
        <v>354180288</v>
      </c>
      <c r="B346">
        <v>48</v>
      </c>
      <c r="C346" t="s">
        <v>59</v>
      </c>
      <c r="D346" t="s">
        <v>74</v>
      </c>
      <c r="E346" t="s">
        <v>103</v>
      </c>
      <c r="F346" t="s">
        <v>75</v>
      </c>
      <c r="G346" t="s">
        <v>60</v>
      </c>
      <c r="H346" t="s">
        <v>491</v>
      </c>
      <c r="I346" t="s">
        <v>135</v>
      </c>
      <c r="J346" s="2">
        <v>198.73</v>
      </c>
      <c r="K346">
        <v>10</v>
      </c>
      <c r="L346" t="s">
        <v>78</v>
      </c>
      <c r="M346">
        <v>1</v>
      </c>
      <c r="N346">
        <v>5</v>
      </c>
      <c r="O346">
        <v>2</v>
      </c>
      <c r="P346" t="s">
        <v>74</v>
      </c>
      <c r="Q346" t="s">
        <v>109</v>
      </c>
      <c r="R346">
        <v>1</v>
      </c>
      <c r="S346">
        <v>5</v>
      </c>
      <c r="T346" t="s">
        <v>66</v>
      </c>
      <c r="U346" t="s">
        <v>105</v>
      </c>
      <c r="V346" t="s">
        <v>96</v>
      </c>
      <c r="W346" s="3">
        <v>45324</v>
      </c>
      <c r="X346" t="b">
        <v>1</v>
      </c>
      <c r="Y346" t="b">
        <v>0</v>
      </c>
      <c r="Z346" t="s">
        <v>92</v>
      </c>
      <c r="AA346" t="s">
        <v>83</v>
      </c>
      <c r="AB346">
        <v>4</v>
      </c>
      <c r="AO346" t="str">
        <f t="shared" si="18"/>
        <v>41-60</v>
      </c>
      <c r="BD346">
        <v>10</v>
      </c>
      <c r="BF346" cm="1">
        <f t="array" ref="BF346">CORREL(J346:J1346,S346:S1346)</f>
        <v>-0.0336167075435754</v>
      </c>
      <c r="BH346">
        <v>5</v>
      </c>
      <c r="BI346">
        <f t="shared" si="19"/>
        <v>2</v>
      </c>
      <c r="BJ346">
        <f t="shared" si="20"/>
        <v>2.5</v>
      </c>
    </row>
    <row r="347" spans="1:62">
      <c r="A347" s="1">
        <v>337872143</v>
      </c>
      <c r="B347">
        <v>26</v>
      </c>
      <c r="C347" t="s">
        <v>59</v>
      </c>
      <c r="D347" t="s">
        <v>60</v>
      </c>
      <c r="E347" t="s">
        <v>61</v>
      </c>
      <c r="F347" t="s">
        <v>75</v>
      </c>
      <c r="G347" t="s">
        <v>74</v>
      </c>
      <c r="H347" t="s">
        <v>492</v>
      </c>
      <c r="I347" t="s">
        <v>178</v>
      </c>
      <c r="J347" s="2">
        <v>265.72</v>
      </c>
      <c r="K347">
        <v>5</v>
      </c>
      <c r="L347" t="s">
        <v>65</v>
      </c>
      <c r="M347">
        <v>5</v>
      </c>
      <c r="N347">
        <v>4</v>
      </c>
      <c r="O347">
        <v>0</v>
      </c>
      <c r="P347" t="s">
        <v>66</v>
      </c>
      <c r="Q347" t="s">
        <v>109</v>
      </c>
      <c r="R347">
        <v>0</v>
      </c>
      <c r="S347">
        <v>9</v>
      </c>
      <c r="T347" t="s">
        <v>66</v>
      </c>
      <c r="U347" t="s">
        <v>68</v>
      </c>
      <c r="V347" t="s">
        <v>91</v>
      </c>
      <c r="W347" s="3">
        <v>45404</v>
      </c>
      <c r="X347" t="b">
        <v>1</v>
      </c>
      <c r="Y347" t="b">
        <v>1</v>
      </c>
      <c r="Z347" t="s">
        <v>102</v>
      </c>
      <c r="AA347" t="s">
        <v>97</v>
      </c>
      <c r="AB347">
        <v>13</v>
      </c>
      <c r="AO347" t="str">
        <f t="shared" si="18"/>
        <v>26-40</v>
      </c>
      <c r="BD347">
        <v>5</v>
      </c>
      <c r="BF347" cm="1">
        <f t="array" ref="BF347">CORREL(J347:J1347,S347:S1347)</f>
        <v>-0.033798595223211</v>
      </c>
      <c r="BH347">
        <v>9</v>
      </c>
      <c r="BI347">
        <f t="shared" si="19"/>
        <v>0.555555555555556</v>
      </c>
      <c r="BJ347">
        <f t="shared" si="20"/>
        <v>16.2</v>
      </c>
    </row>
    <row r="348" spans="1:62">
      <c r="A348" s="1">
        <v>585286262</v>
      </c>
      <c r="B348">
        <v>42</v>
      </c>
      <c r="C348" t="s">
        <v>73</v>
      </c>
      <c r="D348" t="s">
        <v>60</v>
      </c>
      <c r="E348" t="s">
        <v>61</v>
      </c>
      <c r="F348" t="s">
        <v>87</v>
      </c>
      <c r="G348" t="s">
        <v>74</v>
      </c>
      <c r="H348" t="s">
        <v>493</v>
      </c>
      <c r="I348" t="s">
        <v>133</v>
      </c>
      <c r="J348" s="2">
        <v>138.35</v>
      </c>
      <c r="K348">
        <v>2</v>
      </c>
      <c r="L348" t="s">
        <v>85</v>
      </c>
      <c r="M348">
        <v>4</v>
      </c>
      <c r="N348">
        <v>5</v>
      </c>
      <c r="O348">
        <v>2</v>
      </c>
      <c r="P348" t="s">
        <v>84</v>
      </c>
      <c r="Q348" t="s">
        <v>80</v>
      </c>
      <c r="R348">
        <v>0</v>
      </c>
      <c r="S348">
        <v>2</v>
      </c>
      <c r="T348" t="s">
        <v>84</v>
      </c>
      <c r="U348" t="s">
        <v>90</v>
      </c>
      <c r="V348" t="s">
        <v>96</v>
      </c>
      <c r="W348" s="3">
        <v>45487</v>
      </c>
      <c r="X348" t="b">
        <v>1</v>
      </c>
      <c r="Y348" t="b">
        <v>1</v>
      </c>
      <c r="Z348" t="s">
        <v>82</v>
      </c>
      <c r="AA348" t="s">
        <v>71</v>
      </c>
      <c r="AB348">
        <v>8</v>
      </c>
      <c r="AO348" t="str">
        <f t="shared" ref="AO348:AO411" si="21">IF(B348&lt;=25,"18-25",IF(B348&lt;=40,"26-40",IF(B348&lt;=60,"41-60","Above60")))</f>
        <v>41-60</v>
      </c>
      <c r="BD348">
        <v>2</v>
      </c>
      <c r="BF348" cm="1">
        <f t="array" ref="BF348">CORREL(J348:J1348,S348:S1348)</f>
        <v>-0.033657073534515</v>
      </c>
      <c r="BH348">
        <v>2</v>
      </c>
      <c r="BI348">
        <f t="shared" si="19"/>
        <v>1</v>
      </c>
      <c r="BJ348">
        <f t="shared" si="20"/>
        <v>2</v>
      </c>
    </row>
    <row r="349" spans="1:62">
      <c r="A349" s="1">
        <v>310602716</v>
      </c>
      <c r="B349">
        <v>27</v>
      </c>
      <c r="C349" t="s">
        <v>73</v>
      </c>
      <c r="D349" t="s">
        <v>60</v>
      </c>
      <c r="E349" t="s">
        <v>103</v>
      </c>
      <c r="F349" t="s">
        <v>62</v>
      </c>
      <c r="G349" t="s">
        <v>60</v>
      </c>
      <c r="H349" t="s">
        <v>494</v>
      </c>
      <c r="I349" t="s">
        <v>156</v>
      </c>
      <c r="J349" s="2">
        <v>441.87</v>
      </c>
      <c r="K349">
        <v>3</v>
      </c>
      <c r="L349" t="s">
        <v>65</v>
      </c>
      <c r="M349">
        <v>1</v>
      </c>
      <c r="N349">
        <v>2</v>
      </c>
      <c r="O349">
        <v>1</v>
      </c>
      <c r="P349" t="s">
        <v>74</v>
      </c>
      <c r="Q349" t="s">
        <v>67</v>
      </c>
      <c r="R349">
        <v>0</v>
      </c>
      <c r="S349">
        <v>10</v>
      </c>
      <c r="T349" t="s">
        <v>79</v>
      </c>
      <c r="U349" t="s">
        <v>90</v>
      </c>
      <c r="V349" t="s">
        <v>81</v>
      </c>
      <c r="W349" s="3">
        <v>45545</v>
      </c>
      <c r="X349" t="b">
        <v>1</v>
      </c>
      <c r="Y349" t="b">
        <v>0</v>
      </c>
      <c r="Z349" t="s">
        <v>82</v>
      </c>
      <c r="AA349" t="s">
        <v>71</v>
      </c>
      <c r="AB349">
        <v>13</v>
      </c>
      <c r="AO349" t="str">
        <f t="shared" si="21"/>
        <v>26-40</v>
      </c>
      <c r="BD349">
        <v>3</v>
      </c>
      <c r="BF349" cm="1">
        <f t="array" ref="BF349">CORREL(J349:J1349,S349:S1349)</f>
        <v>-0.0357413832558442</v>
      </c>
      <c r="BH349">
        <v>10</v>
      </c>
      <c r="BI349">
        <f t="shared" si="19"/>
        <v>0.3</v>
      </c>
      <c r="BJ349">
        <f t="shared" si="20"/>
        <v>33.3333333333333</v>
      </c>
    </row>
    <row r="350" spans="1:62">
      <c r="A350" s="1">
        <v>815155823</v>
      </c>
      <c r="B350">
        <v>40</v>
      </c>
      <c r="C350" t="s">
        <v>59</v>
      </c>
      <c r="D350" t="s">
        <v>60</v>
      </c>
      <c r="E350" t="s">
        <v>61</v>
      </c>
      <c r="F350" t="s">
        <v>87</v>
      </c>
      <c r="G350" t="s">
        <v>60</v>
      </c>
      <c r="H350" t="s">
        <v>495</v>
      </c>
      <c r="I350" t="s">
        <v>171</v>
      </c>
      <c r="J350" s="2">
        <v>178.29</v>
      </c>
      <c r="K350">
        <v>4</v>
      </c>
      <c r="L350" t="s">
        <v>65</v>
      </c>
      <c r="M350">
        <v>4</v>
      </c>
      <c r="N350">
        <v>3</v>
      </c>
      <c r="O350">
        <v>2</v>
      </c>
      <c r="P350" t="s">
        <v>84</v>
      </c>
      <c r="Q350" t="s">
        <v>109</v>
      </c>
      <c r="R350">
        <v>2</v>
      </c>
      <c r="S350">
        <v>10</v>
      </c>
      <c r="T350" t="s">
        <v>74</v>
      </c>
      <c r="U350" t="s">
        <v>105</v>
      </c>
      <c r="V350" t="s">
        <v>110</v>
      </c>
      <c r="W350" s="3">
        <v>45502</v>
      </c>
      <c r="X350" t="b">
        <v>0</v>
      </c>
      <c r="Y350" t="b">
        <v>1</v>
      </c>
      <c r="Z350" t="s">
        <v>102</v>
      </c>
      <c r="AA350" t="s">
        <v>71</v>
      </c>
      <c r="AB350">
        <v>8</v>
      </c>
      <c r="AO350" t="str">
        <f t="shared" si="21"/>
        <v>26-40</v>
      </c>
      <c r="BD350">
        <v>4</v>
      </c>
      <c r="BF350" cm="1">
        <f t="array" ref="BF350">CORREL(J350:J1350,S350:S1350)</f>
        <v>-0.0388323367607573</v>
      </c>
      <c r="BH350">
        <v>10</v>
      </c>
      <c r="BI350">
        <f t="shared" si="19"/>
        <v>0.4</v>
      </c>
      <c r="BJ350">
        <f t="shared" si="20"/>
        <v>25</v>
      </c>
    </row>
    <row r="351" spans="1:62">
      <c r="A351" s="1">
        <v>908580453</v>
      </c>
      <c r="B351">
        <v>23</v>
      </c>
      <c r="C351" t="s">
        <v>73</v>
      </c>
      <c r="D351" t="s">
        <v>60</v>
      </c>
      <c r="E351" t="s">
        <v>98</v>
      </c>
      <c r="F351" t="s">
        <v>75</v>
      </c>
      <c r="G351" t="s">
        <v>74</v>
      </c>
      <c r="H351" t="s">
        <v>496</v>
      </c>
      <c r="I351" t="s">
        <v>113</v>
      </c>
      <c r="J351" s="2">
        <v>77.08</v>
      </c>
      <c r="K351">
        <v>10</v>
      </c>
      <c r="L351" t="s">
        <v>65</v>
      </c>
      <c r="M351">
        <v>2</v>
      </c>
      <c r="N351">
        <v>1</v>
      </c>
      <c r="O351">
        <v>0</v>
      </c>
      <c r="P351" t="s">
        <v>74</v>
      </c>
      <c r="Q351" t="s">
        <v>80</v>
      </c>
      <c r="R351">
        <v>0</v>
      </c>
      <c r="S351">
        <v>8</v>
      </c>
      <c r="T351" t="s">
        <v>66</v>
      </c>
      <c r="U351" t="s">
        <v>68</v>
      </c>
      <c r="V351" t="s">
        <v>81</v>
      </c>
      <c r="W351" s="3">
        <v>45580</v>
      </c>
      <c r="X351" t="b">
        <v>1</v>
      </c>
      <c r="Y351" t="b">
        <v>1</v>
      </c>
      <c r="Z351" t="s">
        <v>92</v>
      </c>
      <c r="AA351" t="s">
        <v>83</v>
      </c>
      <c r="AB351">
        <v>1</v>
      </c>
      <c r="AO351" t="str">
        <f t="shared" si="21"/>
        <v>18-25</v>
      </c>
      <c r="BD351">
        <v>10</v>
      </c>
      <c r="BF351" cm="1">
        <f t="array" ref="BF351">CORREL(J351:J1351,S351:S1351)</f>
        <v>-0.0370858278504287</v>
      </c>
      <c r="BH351">
        <v>8</v>
      </c>
      <c r="BI351">
        <f t="shared" si="19"/>
        <v>1.25</v>
      </c>
      <c r="BJ351">
        <f t="shared" si="20"/>
        <v>6.4</v>
      </c>
    </row>
    <row r="352" spans="1:62">
      <c r="A352" s="1">
        <v>288748938</v>
      </c>
      <c r="B352">
        <v>46</v>
      </c>
      <c r="C352" t="s">
        <v>73</v>
      </c>
      <c r="D352" t="s">
        <v>74</v>
      </c>
      <c r="E352" t="s">
        <v>61</v>
      </c>
      <c r="F352" t="s">
        <v>75</v>
      </c>
      <c r="G352" t="s">
        <v>74</v>
      </c>
      <c r="H352" t="s">
        <v>497</v>
      </c>
      <c r="I352" t="s">
        <v>89</v>
      </c>
      <c r="J352" s="2">
        <v>266.9</v>
      </c>
      <c r="K352">
        <v>11</v>
      </c>
      <c r="L352" t="s">
        <v>65</v>
      </c>
      <c r="M352">
        <v>4</v>
      </c>
      <c r="N352">
        <v>2</v>
      </c>
      <c r="O352">
        <v>2</v>
      </c>
      <c r="P352" t="s">
        <v>84</v>
      </c>
      <c r="Q352" t="s">
        <v>80</v>
      </c>
      <c r="R352">
        <v>1</v>
      </c>
      <c r="S352">
        <v>8</v>
      </c>
      <c r="T352" t="s">
        <v>79</v>
      </c>
      <c r="U352" t="s">
        <v>105</v>
      </c>
      <c r="V352" t="s">
        <v>81</v>
      </c>
      <c r="W352" s="3">
        <v>45474</v>
      </c>
      <c r="X352" t="b">
        <v>0</v>
      </c>
      <c r="Y352" t="b">
        <v>1</v>
      </c>
      <c r="Z352" t="s">
        <v>82</v>
      </c>
      <c r="AA352" t="s">
        <v>97</v>
      </c>
      <c r="AB352">
        <v>13</v>
      </c>
      <c r="AO352" t="str">
        <f t="shared" si="21"/>
        <v>41-60</v>
      </c>
      <c r="BD352">
        <v>11</v>
      </c>
      <c r="BF352" cm="1">
        <f t="array" ref="BF352">CORREL(J352:J1352,S352:S1352)</f>
        <v>-0.0351172981518144</v>
      </c>
      <c r="BH352">
        <v>8</v>
      </c>
      <c r="BI352">
        <f t="shared" si="19"/>
        <v>1.375</v>
      </c>
      <c r="BJ352">
        <f t="shared" si="20"/>
        <v>5.81818181818182</v>
      </c>
    </row>
    <row r="353" spans="1:62">
      <c r="A353" s="1">
        <v>896255542</v>
      </c>
      <c r="B353">
        <v>38</v>
      </c>
      <c r="C353" t="s">
        <v>59</v>
      </c>
      <c r="D353" t="s">
        <v>60</v>
      </c>
      <c r="E353" t="s">
        <v>103</v>
      </c>
      <c r="F353" t="s">
        <v>62</v>
      </c>
      <c r="G353" t="s">
        <v>74</v>
      </c>
      <c r="H353" t="s">
        <v>498</v>
      </c>
      <c r="I353" t="s">
        <v>131</v>
      </c>
      <c r="J353" s="2">
        <v>269.84</v>
      </c>
      <c r="K353">
        <v>4</v>
      </c>
      <c r="L353" t="s">
        <v>78</v>
      </c>
      <c r="M353">
        <v>5</v>
      </c>
      <c r="N353">
        <v>4</v>
      </c>
      <c r="O353">
        <v>0</v>
      </c>
      <c r="P353" t="s">
        <v>84</v>
      </c>
      <c r="Q353" t="s">
        <v>80</v>
      </c>
      <c r="R353">
        <v>2</v>
      </c>
      <c r="S353">
        <v>9</v>
      </c>
      <c r="T353" t="s">
        <v>84</v>
      </c>
      <c r="U353" t="s">
        <v>68</v>
      </c>
      <c r="V353" t="s">
        <v>69</v>
      </c>
      <c r="W353" s="3">
        <v>45416</v>
      </c>
      <c r="X353" t="b">
        <v>1</v>
      </c>
      <c r="Y353" t="b">
        <v>1</v>
      </c>
      <c r="Z353" t="s">
        <v>82</v>
      </c>
      <c r="AA353" t="s">
        <v>71</v>
      </c>
      <c r="AB353">
        <v>2</v>
      </c>
      <c r="AO353" t="str">
        <f t="shared" si="21"/>
        <v>26-40</v>
      </c>
      <c r="BD353">
        <v>4</v>
      </c>
      <c r="BF353" cm="1">
        <f t="array" ref="BF353">CORREL(J353:J1353,S353:S1353)</f>
        <v>-0.0350151647643606</v>
      </c>
      <c r="BH353">
        <v>9</v>
      </c>
      <c r="BI353">
        <f t="shared" si="19"/>
        <v>0.444444444444444</v>
      </c>
      <c r="BJ353">
        <f t="shared" si="20"/>
        <v>20.25</v>
      </c>
    </row>
    <row r="354" spans="1:62">
      <c r="A354" s="4" t="s">
        <v>499</v>
      </c>
      <c r="B354">
        <v>23</v>
      </c>
      <c r="C354" t="s">
        <v>73</v>
      </c>
      <c r="D354" t="s">
        <v>60</v>
      </c>
      <c r="E354" t="s">
        <v>61</v>
      </c>
      <c r="F354" t="s">
        <v>87</v>
      </c>
      <c r="G354" t="s">
        <v>74</v>
      </c>
      <c r="H354" t="s">
        <v>500</v>
      </c>
      <c r="I354" t="s">
        <v>95</v>
      </c>
      <c r="J354" s="2">
        <v>334.22</v>
      </c>
      <c r="K354">
        <v>8</v>
      </c>
      <c r="L354" t="s">
        <v>85</v>
      </c>
      <c r="M354">
        <v>2</v>
      </c>
      <c r="N354">
        <v>2</v>
      </c>
      <c r="O354">
        <v>2</v>
      </c>
      <c r="P354" t="s">
        <v>66</v>
      </c>
      <c r="Q354" t="s">
        <v>109</v>
      </c>
      <c r="R354">
        <v>2</v>
      </c>
      <c r="S354">
        <v>8</v>
      </c>
      <c r="T354" t="s">
        <v>66</v>
      </c>
      <c r="U354" t="s">
        <v>68</v>
      </c>
      <c r="V354" t="s">
        <v>110</v>
      </c>
      <c r="W354" s="3">
        <v>45353</v>
      </c>
      <c r="X354" t="b">
        <v>0</v>
      </c>
      <c r="Y354" t="b">
        <v>0</v>
      </c>
      <c r="Z354" t="s">
        <v>70</v>
      </c>
      <c r="AA354" t="s">
        <v>83</v>
      </c>
      <c r="AB354">
        <v>1</v>
      </c>
      <c r="AO354" t="str">
        <f t="shared" si="21"/>
        <v>18-25</v>
      </c>
      <c r="BD354">
        <v>8</v>
      </c>
      <c r="BF354" cm="1">
        <f t="array" ref="BF354">CORREL(J354:J1354,S354:S1354)</f>
        <v>-0.0349252875409239</v>
      </c>
      <c r="BH354">
        <v>8</v>
      </c>
      <c r="BI354">
        <f t="shared" si="19"/>
        <v>1</v>
      </c>
      <c r="BJ354">
        <f t="shared" si="20"/>
        <v>8</v>
      </c>
    </row>
    <row r="355" spans="1:62">
      <c r="A355" s="1">
        <v>944082581</v>
      </c>
      <c r="B355">
        <v>40</v>
      </c>
      <c r="C355" t="s">
        <v>59</v>
      </c>
      <c r="D355" t="s">
        <v>60</v>
      </c>
      <c r="E355" t="s">
        <v>61</v>
      </c>
      <c r="F355" t="s">
        <v>75</v>
      </c>
      <c r="G355" t="s">
        <v>74</v>
      </c>
      <c r="H355" t="s">
        <v>501</v>
      </c>
      <c r="I355" t="s">
        <v>178</v>
      </c>
      <c r="J355" s="2">
        <v>474.56</v>
      </c>
      <c r="K355">
        <v>8</v>
      </c>
      <c r="L355" t="s">
        <v>78</v>
      </c>
      <c r="M355">
        <v>1</v>
      </c>
      <c r="N355">
        <v>5</v>
      </c>
      <c r="O355">
        <v>2</v>
      </c>
      <c r="P355" t="s">
        <v>84</v>
      </c>
      <c r="Q355" t="s">
        <v>80</v>
      </c>
      <c r="R355">
        <v>1</v>
      </c>
      <c r="S355">
        <v>6</v>
      </c>
      <c r="T355" t="s">
        <v>74</v>
      </c>
      <c r="U355" t="s">
        <v>90</v>
      </c>
      <c r="V355" t="s">
        <v>81</v>
      </c>
      <c r="W355" s="3">
        <v>45399</v>
      </c>
      <c r="X355" t="b">
        <v>1</v>
      </c>
      <c r="Y355" t="b">
        <v>0</v>
      </c>
      <c r="Z355" t="s">
        <v>102</v>
      </c>
      <c r="AA355" t="s">
        <v>83</v>
      </c>
      <c r="AB355">
        <v>12</v>
      </c>
      <c r="AO355" t="str">
        <f t="shared" si="21"/>
        <v>26-40</v>
      </c>
      <c r="BD355">
        <v>8</v>
      </c>
      <c r="BF355" cm="1">
        <f t="array" ref="BF355">CORREL(J355:J1355,S355:S1355)</f>
        <v>-0.035518697596779</v>
      </c>
      <c r="BH355">
        <v>6</v>
      </c>
      <c r="BI355">
        <f t="shared" si="19"/>
        <v>1.33333333333333</v>
      </c>
      <c r="BJ355">
        <f t="shared" si="20"/>
        <v>4.5</v>
      </c>
    </row>
    <row r="356" spans="1:62">
      <c r="A356" s="1">
        <v>553019368</v>
      </c>
      <c r="B356">
        <v>34</v>
      </c>
      <c r="C356" t="s">
        <v>73</v>
      </c>
      <c r="D356" t="s">
        <v>74</v>
      </c>
      <c r="E356" t="s">
        <v>61</v>
      </c>
      <c r="F356" t="s">
        <v>87</v>
      </c>
      <c r="G356" t="s">
        <v>74</v>
      </c>
      <c r="H356" t="s">
        <v>502</v>
      </c>
      <c r="I356" t="s">
        <v>131</v>
      </c>
      <c r="J356" s="2">
        <v>360.91</v>
      </c>
      <c r="K356">
        <v>4</v>
      </c>
      <c r="L356" t="s">
        <v>65</v>
      </c>
      <c r="M356">
        <v>3</v>
      </c>
      <c r="N356">
        <v>5</v>
      </c>
      <c r="O356">
        <v>1</v>
      </c>
      <c r="P356" t="s">
        <v>74</v>
      </c>
      <c r="Q356" t="s">
        <v>67</v>
      </c>
      <c r="R356">
        <v>0</v>
      </c>
      <c r="S356">
        <v>8</v>
      </c>
      <c r="T356" t="s">
        <v>74</v>
      </c>
      <c r="U356" t="s">
        <v>105</v>
      </c>
      <c r="V356" t="s">
        <v>69</v>
      </c>
      <c r="W356" s="3">
        <v>45534</v>
      </c>
      <c r="X356" t="b">
        <v>1</v>
      </c>
      <c r="Y356" t="b">
        <v>1</v>
      </c>
      <c r="Z356" t="s">
        <v>102</v>
      </c>
      <c r="AA356" t="s">
        <v>71</v>
      </c>
      <c r="AB356">
        <v>4</v>
      </c>
      <c r="AO356" t="str">
        <f t="shared" si="21"/>
        <v>26-40</v>
      </c>
      <c r="BD356">
        <v>4</v>
      </c>
      <c r="BF356" cm="1">
        <f t="array" ref="BF356">CORREL(J356:J1356,S356:S1356)</f>
        <v>-0.0359818989186815</v>
      </c>
      <c r="BH356">
        <v>8</v>
      </c>
      <c r="BI356">
        <f t="shared" si="19"/>
        <v>0.5</v>
      </c>
      <c r="BJ356">
        <f t="shared" si="20"/>
        <v>16</v>
      </c>
    </row>
    <row r="357" spans="1:62">
      <c r="A357" s="1">
        <v>723361992</v>
      </c>
      <c r="B357">
        <v>44</v>
      </c>
      <c r="C357" t="s">
        <v>59</v>
      </c>
      <c r="D357" t="s">
        <v>60</v>
      </c>
      <c r="E357" t="s">
        <v>98</v>
      </c>
      <c r="F357" t="s">
        <v>62</v>
      </c>
      <c r="G357" t="s">
        <v>74</v>
      </c>
      <c r="H357" t="s">
        <v>503</v>
      </c>
      <c r="I357" t="s">
        <v>156</v>
      </c>
      <c r="J357" s="2">
        <v>373.49</v>
      </c>
      <c r="K357">
        <v>6</v>
      </c>
      <c r="L357" t="s">
        <v>85</v>
      </c>
      <c r="M357">
        <v>4</v>
      </c>
      <c r="N357">
        <v>1</v>
      </c>
      <c r="O357">
        <v>0</v>
      </c>
      <c r="P357" t="s">
        <v>79</v>
      </c>
      <c r="Q357" t="s">
        <v>109</v>
      </c>
      <c r="R357">
        <v>0</v>
      </c>
      <c r="S357">
        <v>10</v>
      </c>
      <c r="T357" t="s">
        <v>84</v>
      </c>
      <c r="U357" t="s">
        <v>68</v>
      </c>
      <c r="V357" t="s">
        <v>110</v>
      </c>
      <c r="W357" s="3">
        <v>45405</v>
      </c>
      <c r="X357" t="b">
        <v>1</v>
      </c>
      <c r="Y357" t="b">
        <v>1</v>
      </c>
      <c r="Z357" t="s">
        <v>92</v>
      </c>
      <c r="AA357" t="s">
        <v>83</v>
      </c>
      <c r="AB357">
        <v>1</v>
      </c>
      <c r="AO357" t="str">
        <f t="shared" si="21"/>
        <v>41-60</v>
      </c>
      <c r="BD357">
        <v>6</v>
      </c>
      <c r="BF357" cm="1">
        <f t="array" ref="BF357">CORREL(J357:J1357,S357:S1357)</f>
        <v>-0.0368642147224977</v>
      </c>
      <c r="BH357">
        <v>10</v>
      </c>
      <c r="BI357">
        <f t="shared" si="19"/>
        <v>0.6</v>
      </c>
      <c r="BJ357">
        <f t="shared" si="20"/>
        <v>16.6666666666667</v>
      </c>
    </row>
    <row r="358" spans="1:62">
      <c r="A358" s="4" t="s">
        <v>504</v>
      </c>
      <c r="B358">
        <v>32</v>
      </c>
      <c r="C358" t="s">
        <v>59</v>
      </c>
      <c r="D358" t="s">
        <v>74</v>
      </c>
      <c r="E358" t="s">
        <v>61</v>
      </c>
      <c r="F358" t="s">
        <v>87</v>
      </c>
      <c r="G358" t="s">
        <v>60</v>
      </c>
      <c r="H358" t="s">
        <v>505</v>
      </c>
      <c r="I358" t="s">
        <v>113</v>
      </c>
      <c r="J358" s="2">
        <v>462.3</v>
      </c>
      <c r="K358">
        <v>5</v>
      </c>
      <c r="L358" t="s">
        <v>65</v>
      </c>
      <c r="M358">
        <v>3</v>
      </c>
      <c r="N358">
        <v>3</v>
      </c>
      <c r="O358">
        <v>2</v>
      </c>
      <c r="P358" t="s">
        <v>66</v>
      </c>
      <c r="Q358" t="s">
        <v>80</v>
      </c>
      <c r="R358">
        <v>2</v>
      </c>
      <c r="S358">
        <v>4</v>
      </c>
      <c r="T358" t="s">
        <v>79</v>
      </c>
      <c r="U358" t="s">
        <v>68</v>
      </c>
      <c r="V358" t="s">
        <v>110</v>
      </c>
      <c r="W358" s="3">
        <v>45621</v>
      </c>
      <c r="X358" t="b">
        <v>1</v>
      </c>
      <c r="Y358" t="b">
        <v>1</v>
      </c>
      <c r="Z358" t="s">
        <v>92</v>
      </c>
      <c r="AA358" t="s">
        <v>83</v>
      </c>
      <c r="AB358">
        <v>4</v>
      </c>
      <c r="AO358" t="str">
        <f t="shared" si="21"/>
        <v>26-40</v>
      </c>
      <c r="BD358">
        <v>5</v>
      </c>
      <c r="BF358" cm="1">
        <f t="array" ref="BF358">CORREL(J358:J1358,S358:S1358)</f>
        <v>-0.0387234270542118</v>
      </c>
      <c r="BH358">
        <v>4</v>
      </c>
      <c r="BI358">
        <f t="shared" si="19"/>
        <v>1.25</v>
      </c>
      <c r="BJ358">
        <f t="shared" si="20"/>
        <v>3.2</v>
      </c>
    </row>
    <row r="359" spans="1:62">
      <c r="A359" s="1">
        <v>771786086</v>
      </c>
      <c r="B359">
        <v>42</v>
      </c>
      <c r="C359" t="s">
        <v>59</v>
      </c>
      <c r="D359" t="s">
        <v>60</v>
      </c>
      <c r="E359" t="s">
        <v>86</v>
      </c>
      <c r="F359" t="s">
        <v>87</v>
      </c>
      <c r="G359" t="s">
        <v>60</v>
      </c>
      <c r="H359" t="s">
        <v>506</v>
      </c>
      <c r="I359" t="s">
        <v>137</v>
      </c>
      <c r="J359" s="2">
        <v>332.67</v>
      </c>
      <c r="K359">
        <v>8</v>
      </c>
      <c r="L359" t="s">
        <v>78</v>
      </c>
      <c r="M359">
        <v>1</v>
      </c>
      <c r="N359">
        <v>4</v>
      </c>
      <c r="O359">
        <v>2</v>
      </c>
      <c r="P359" t="s">
        <v>79</v>
      </c>
      <c r="Q359" t="s">
        <v>67</v>
      </c>
      <c r="R359">
        <v>1</v>
      </c>
      <c r="S359">
        <v>2</v>
      </c>
      <c r="T359" t="s">
        <v>74</v>
      </c>
      <c r="U359" t="s">
        <v>90</v>
      </c>
      <c r="V359" t="s">
        <v>96</v>
      </c>
      <c r="W359" s="3">
        <v>45637</v>
      </c>
      <c r="X359" t="b">
        <v>0</v>
      </c>
      <c r="Y359" t="b">
        <v>1</v>
      </c>
      <c r="Z359" t="s">
        <v>92</v>
      </c>
      <c r="AA359" t="s">
        <v>97</v>
      </c>
      <c r="AB359">
        <v>4</v>
      </c>
      <c r="AO359" t="str">
        <f t="shared" si="21"/>
        <v>41-60</v>
      </c>
      <c r="BD359">
        <v>8</v>
      </c>
      <c r="BF359" cm="1">
        <f t="array" ref="BF359">CORREL(J359:J1359,S359:S1359)</f>
        <v>-0.037653204498084</v>
      </c>
      <c r="BH359">
        <v>2</v>
      </c>
      <c r="BI359">
        <f t="shared" si="19"/>
        <v>4</v>
      </c>
      <c r="BJ359">
        <f t="shared" si="20"/>
        <v>0.5</v>
      </c>
    </row>
    <row r="360" spans="1:62">
      <c r="A360" s="1">
        <v>288322885</v>
      </c>
      <c r="B360">
        <v>22</v>
      </c>
      <c r="C360" t="s">
        <v>59</v>
      </c>
      <c r="D360" t="s">
        <v>74</v>
      </c>
      <c r="E360" t="s">
        <v>103</v>
      </c>
      <c r="F360" t="s">
        <v>87</v>
      </c>
      <c r="G360" t="s">
        <v>60</v>
      </c>
      <c r="H360" t="s">
        <v>507</v>
      </c>
      <c r="I360" t="s">
        <v>95</v>
      </c>
      <c r="J360" s="2">
        <v>235.39</v>
      </c>
      <c r="K360">
        <v>9</v>
      </c>
      <c r="L360" t="s">
        <v>85</v>
      </c>
      <c r="M360">
        <v>5</v>
      </c>
      <c r="N360">
        <v>4</v>
      </c>
      <c r="O360">
        <v>1</v>
      </c>
      <c r="P360" t="s">
        <v>66</v>
      </c>
      <c r="Q360" t="s">
        <v>80</v>
      </c>
      <c r="R360">
        <v>0</v>
      </c>
      <c r="S360">
        <v>6</v>
      </c>
      <c r="T360" t="s">
        <v>66</v>
      </c>
      <c r="U360" t="s">
        <v>90</v>
      </c>
      <c r="V360" t="s">
        <v>69</v>
      </c>
      <c r="W360" s="3">
        <v>45437</v>
      </c>
      <c r="X360" t="b">
        <v>0</v>
      </c>
      <c r="Y360" t="b">
        <v>1</v>
      </c>
      <c r="Z360" t="s">
        <v>102</v>
      </c>
      <c r="AA360" t="s">
        <v>71</v>
      </c>
      <c r="AB360">
        <v>6</v>
      </c>
      <c r="AO360" t="str">
        <f t="shared" si="21"/>
        <v>18-25</v>
      </c>
      <c r="BD360">
        <v>9</v>
      </c>
      <c r="BF360" cm="1">
        <f t="array" ref="BF360">CORREL(J360:J1360,S360:S1360)</f>
        <v>-0.0369114099660917</v>
      </c>
      <c r="BH360">
        <v>6</v>
      </c>
      <c r="BI360">
        <f t="shared" si="19"/>
        <v>1.5</v>
      </c>
      <c r="BJ360">
        <f t="shared" si="20"/>
        <v>4</v>
      </c>
    </row>
    <row r="361" spans="1:62">
      <c r="A361" s="1">
        <v>752107391</v>
      </c>
      <c r="B361">
        <v>44</v>
      </c>
      <c r="C361" t="s">
        <v>59</v>
      </c>
      <c r="D361" t="s">
        <v>60</v>
      </c>
      <c r="E361" t="s">
        <v>61</v>
      </c>
      <c r="F361" t="s">
        <v>75</v>
      </c>
      <c r="G361" t="s">
        <v>60</v>
      </c>
      <c r="H361" t="s">
        <v>508</v>
      </c>
      <c r="I361" t="s">
        <v>129</v>
      </c>
      <c r="J361" s="2">
        <v>269.78</v>
      </c>
      <c r="K361">
        <v>7</v>
      </c>
      <c r="L361" t="s">
        <v>78</v>
      </c>
      <c r="M361">
        <v>2</v>
      </c>
      <c r="N361">
        <v>3</v>
      </c>
      <c r="O361">
        <v>1</v>
      </c>
      <c r="P361" t="s">
        <v>79</v>
      </c>
      <c r="Q361" t="s">
        <v>67</v>
      </c>
      <c r="R361">
        <v>2</v>
      </c>
      <c r="S361">
        <v>7</v>
      </c>
      <c r="T361" t="s">
        <v>79</v>
      </c>
      <c r="U361" t="s">
        <v>105</v>
      </c>
      <c r="V361" t="s">
        <v>96</v>
      </c>
      <c r="W361" s="3">
        <v>45498</v>
      </c>
      <c r="X361" t="b">
        <v>1</v>
      </c>
      <c r="Y361" t="b">
        <v>1</v>
      </c>
      <c r="Z361" t="s">
        <v>70</v>
      </c>
      <c r="AA361" t="s">
        <v>71</v>
      </c>
      <c r="AB361">
        <v>5</v>
      </c>
      <c r="AO361" t="str">
        <f t="shared" si="21"/>
        <v>41-60</v>
      </c>
      <c r="BD361">
        <v>7</v>
      </c>
      <c r="BF361" cm="1">
        <f t="array" ref="BF361">CORREL(J361:J1361,S361:S1361)</f>
        <v>-0.0368262836273899</v>
      </c>
      <c r="BH361">
        <v>7</v>
      </c>
      <c r="BI361">
        <f t="shared" si="19"/>
        <v>1</v>
      </c>
      <c r="BJ361">
        <f t="shared" si="20"/>
        <v>7</v>
      </c>
    </row>
    <row r="362" spans="1:62">
      <c r="A362" s="1">
        <v>604703563</v>
      </c>
      <c r="B362">
        <v>29</v>
      </c>
      <c r="C362" t="s">
        <v>73</v>
      </c>
      <c r="D362" t="s">
        <v>60</v>
      </c>
      <c r="E362" t="s">
        <v>61</v>
      </c>
      <c r="F362" t="s">
        <v>62</v>
      </c>
      <c r="G362" t="s">
        <v>60</v>
      </c>
      <c r="H362" t="s">
        <v>509</v>
      </c>
      <c r="I362" t="s">
        <v>64</v>
      </c>
      <c r="J362" s="2">
        <v>498.33</v>
      </c>
      <c r="K362">
        <v>2</v>
      </c>
      <c r="L362" t="s">
        <v>85</v>
      </c>
      <c r="M362">
        <v>3</v>
      </c>
      <c r="N362">
        <v>5</v>
      </c>
      <c r="O362">
        <v>2</v>
      </c>
      <c r="P362" t="s">
        <v>79</v>
      </c>
      <c r="Q362" t="s">
        <v>109</v>
      </c>
      <c r="R362">
        <v>1</v>
      </c>
      <c r="S362">
        <v>9</v>
      </c>
      <c r="T362" t="s">
        <v>79</v>
      </c>
      <c r="U362" t="s">
        <v>90</v>
      </c>
      <c r="V362" t="s">
        <v>81</v>
      </c>
      <c r="W362" s="3">
        <v>45420</v>
      </c>
      <c r="X362" t="b">
        <v>1</v>
      </c>
      <c r="Y362" t="b">
        <v>1</v>
      </c>
      <c r="Z362" t="s">
        <v>82</v>
      </c>
      <c r="AA362" t="s">
        <v>97</v>
      </c>
      <c r="AB362">
        <v>1</v>
      </c>
      <c r="AO362" t="str">
        <f t="shared" si="21"/>
        <v>26-40</v>
      </c>
      <c r="BD362">
        <v>2</v>
      </c>
      <c r="BF362" cm="1">
        <f t="array" ref="BF362">CORREL(J362:J1362,S362:S1362)</f>
        <v>-0.0367829787445376</v>
      </c>
      <c r="BH362">
        <v>9</v>
      </c>
      <c r="BI362">
        <f t="shared" si="19"/>
        <v>0.222222222222222</v>
      </c>
      <c r="BJ362">
        <f t="shared" si="20"/>
        <v>40.5</v>
      </c>
    </row>
    <row r="363" spans="1:62">
      <c r="A363" s="1">
        <v>242417171</v>
      </c>
      <c r="B363">
        <v>30</v>
      </c>
      <c r="C363" t="s">
        <v>59</v>
      </c>
      <c r="D363" t="s">
        <v>74</v>
      </c>
      <c r="E363" t="s">
        <v>86</v>
      </c>
      <c r="F363" t="s">
        <v>75</v>
      </c>
      <c r="G363" t="s">
        <v>74</v>
      </c>
      <c r="H363" t="s">
        <v>510</v>
      </c>
      <c r="I363" t="s">
        <v>147</v>
      </c>
      <c r="J363" s="2">
        <v>182.94</v>
      </c>
      <c r="K363">
        <v>7</v>
      </c>
      <c r="L363" t="s">
        <v>65</v>
      </c>
      <c r="M363">
        <v>1</v>
      </c>
      <c r="N363">
        <v>5</v>
      </c>
      <c r="O363">
        <v>2</v>
      </c>
      <c r="P363" t="s">
        <v>66</v>
      </c>
      <c r="Q363" t="s">
        <v>80</v>
      </c>
      <c r="R363">
        <v>2</v>
      </c>
      <c r="S363">
        <v>7</v>
      </c>
      <c r="T363" t="s">
        <v>84</v>
      </c>
      <c r="U363" t="s">
        <v>105</v>
      </c>
      <c r="V363" t="s">
        <v>96</v>
      </c>
      <c r="W363" s="3">
        <v>45440</v>
      </c>
      <c r="X363" t="b">
        <v>1</v>
      </c>
      <c r="Y363" t="b">
        <v>1</v>
      </c>
      <c r="Z363" t="s">
        <v>70</v>
      </c>
      <c r="AA363" t="s">
        <v>97</v>
      </c>
      <c r="AB363">
        <v>12</v>
      </c>
      <c r="AO363" t="str">
        <f t="shared" si="21"/>
        <v>26-40</v>
      </c>
      <c r="BD363">
        <v>7</v>
      </c>
      <c r="BF363" cm="1">
        <f t="array" ref="BF363">CORREL(J363:J1363,S363:S1363)</f>
        <v>-0.04012537962397</v>
      </c>
      <c r="BH363">
        <v>7</v>
      </c>
      <c r="BI363">
        <f t="shared" si="19"/>
        <v>1</v>
      </c>
      <c r="BJ363">
        <f t="shared" si="20"/>
        <v>7</v>
      </c>
    </row>
    <row r="364" spans="1:62">
      <c r="A364" s="1">
        <v>537841855</v>
      </c>
      <c r="B364">
        <v>19</v>
      </c>
      <c r="C364" t="s">
        <v>59</v>
      </c>
      <c r="D364" t="s">
        <v>60</v>
      </c>
      <c r="E364" t="s">
        <v>103</v>
      </c>
      <c r="F364" t="s">
        <v>87</v>
      </c>
      <c r="G364" t="s">
        <v>74</v>
      </c>
      <c r="H364" t="s">
        <v>511</v>
      </c>
      <c r="I364" t="s">
        <v>147</v>
      </c>
      <c r="J364" s="2">
        <v>121.7</v>
      </c>
      <c r="K364">
        <v>7</v>
      </c>
      <c r="L364" t="s">
        <v>65</v>
      </c>
      <c r="M364">
        <v>4</v>
      </c>
      <c r="N364">
        <v>3</v>
      </c>
      <c r="O364">
        <v>0</v>
      </c>
      <c r="P364" t="s">
        <v>74</v>
      </c>
      <c r="Q364" t="s">
        <v>109</v>
      </c>
      <c r="R364">
        <v>2</v>
      </c>
      <c r="S364">
        <v>5</v>
      </c>
      <c r="T364" t="s">
        <v>66</v>
      </c>
      <c r="U364" t="s">
        <v>90</v>
      </c>
      <c r="V364" t="s">
        <v>69</v>
      </c>
      <c r="W364" s="3">
        <v>45467</v>
      </c>
      <c r="X364" t="b">
        <v>1</v>
      </c>
      <c r="Y364" t="b">
        <v>1</v>
      </c>
      <c r="Z364" t="s">
        <v>102</v>
      </c>
      <c r="AA364" t="s">
        <v>83</v>
      </c>
      <c r="AB364">
        <v>8</v>
      </c>
      <c r="AO364" t="str">
        <f t="shared" si="21"/>
        <v>18-25</v>
      </c>
      <c r="BD364">
        <v>7</v>
      </c>
      <c r="BF364" cm="1">
        <f t="array" ref="BF364">CORREL(J364:J1364,S364:S1364)</f>
        <v>-0.0395527983885739</v>
      </c>
      <c r="BH364">
        <v>5</v>
      </c>
      <c r="BI364">
        <f t="shared" si="19"/>
        <v>1.4</v>
      </c>
      <c r="BJ364">
        <f t="shared" si="20"/>
        <v>3.57142857142857</v>
      </c>
    </row>
    <row r="365" spans="1:62">
      <c r="A365" s="1">
        <v>835613374</v>
      </c>
      <c r="B365">
        <v>45</v>
      </c>
      <c r="C365" t="s">
        <v>59</v>
      </c>
      <c r="D365" t="s">
        <v>74</v>
      </c>
      <c r="E365" t="s">
        <v>98</v>
      </c>
      <c r="F365" t="s">
        <v>87</v>
      </c>
      <c r="G365" t="s">
        <v>60</v>
      </c>
      <c r="H365" t="s">
        <v>512</v>
      </c>
      <c r="I365" t="s">
        <v>133</v>
      </c>
      <c r="J365" s="2">
        <v>489.27</v>
      </c>
      <c r="K365">
        <v>4</v>
      </c>
      <c r="L365" t="s">
        <v>65</v>
      </c>
      <c r="M365">
        <v>1</v>
      </c>
      <c r="N365">
        <v>4</v>
      </c>
      <c r="O365">
        <v>1</v>
      </c>
      <c r="P365" t="s">
        <v>74</v>
      </c>
      <c r="Q365" t="s">
        <v>67</v>
      </c>
      <c r="R365">
        <v>1</v>
      </c>
      <c r="S365">
        <v>3</v>
      </c>
      <c r="T365" t="s">
        <v>66</v>
      </c>
      <c r="U365" t="s">
        <v>68</v>
      </c>
      <c r="V365" t="s">
        <v>91</v>
      </c>
      <c r="W365" s="3">
        <v>45304</v>
      </c>
      <c r="X365" t="b">
        <v>0</v>
      </c>
      <c r="Y365" t="b">
        <v>0</v>
      </c>
      <c r="Z365" t="s">
        <v>82</v>
      </c>
      <c r="AA365" t="s">
        <v>83</v>
      </c>
      <c r="AB365">
        <v>3</v>
      </c>
      <c r="AO365" t="str">
        <f t="shared" si="21"/>
        <v>41-60</v>
      </c>
      <c r="BD365">
        <v>4</v>
      </c>
      <c r="BF365" cm="1">
        <f t="array" ref="BF365">CORREL(J365:J1365,S365:S1365)</f>
        <v>-0.03991311713502</v>
      </c>
      <c r="BH365">
        <v>3</v>
      </c>
      <c r="BI365">
        <f t="shared" si="19"/>
        <v>1.33333333333333</v>
      </c>
      <c r="BJ365">
        <f t="shared" si="20"/>
        <v>2.25</v>
      </c>
    </row>
    <row r="366" spans="1:62">
      <c r="A366" s="1">
        <v>961210629</v>
      </c>
      <c r="B366">
        <v>38</v>
      </c>
      <c r="C366" t="s">
        <v>73</v>
      </c>
      <c r="D366" t="s">
        <v>60</v>
      </c>
      <c r="E366" t="s">
        <v>61</v>
      </c>
      <c r="F366" t="s">
        <v>62</v>
      </c>
      <c r="G366" t="s">
        <v>60</v>
      </c>
      <c r="H366" t="s">
        <v>513</v>
      </c>
      <c r="I366" t="s">
        <v>133</v>
      </c>
      <c r="J366" s="2">
        <v>303.93</v>
      </c>
      <c r="K366">
        <v>6</v>
      </c>
      <c r="L366" t="s">
        <v>65</v>
      </c>
      <c r="M366">
        <v>3</v>
      </c>
      <c r="N366">
        <v>2</v>
      </c>
      <c r="O366">
        <v>0</v>
      </c>
      <c r="P366" t="s">
        <v>74</v>
      </c>
      <c r="Q366" t="s">
        <v>80</v>
      </c>
      <c r="R366">
        <v>1</v>
      </c>
      <c r="S366">
        <v>10</v>
      </c>
      <c r="T366" t="s">
        <v>84</v>
      </c>
      <c r="U366" t="s">
        <v>90</v>
      </c>
      <c r="V366" t="s">
        <v>91</v>
      </c>
      <c r="W366" s="3">
        <v>45364</v>
      </c>
      <c r="X366" t="b">
        <v>1</v>
      </c>
      <c r="Y366" t="b">
        <v>0</v>
      </c>
      <c r="Z366" t="s">
        <v>70</v>
      </c>
      <c r="AA366" t="s">
        <v>71</v>
      </c>
      <c r="AB366">
        <v>2</v>
      </c>
      <c r="AO366" t="str">
        <f t="shared" si="21"/>
        <v>26-40</v>
      </c>
      <c r="BD366">
        <v>6</v>
      </c>
      <c r="BF366" cm="1">
        <f t="array" ref="BF366">CORREL(J366:J1366,S366:S1366)</f>
        <v>-0.0378182743393491</v>
      </c>
      <c r="BH366">
        <v>10</v>
      </c>
      <c r="BI366">
        <f t="shared" si="19"/>
        <v>0.6</v>
      </c>
      <c r="BJ366">
        <f t="shared" si="20"/>
        <v>16.6666666666667</v>
      </c>
    </row>
    <row r="367" spans="1:62">
      <c r="A367" s="4" t="s">
        <v>514</v>
      </c>
      <c r="B367">
        <v>24</v>
      </c>
      <c r="C367" t="s">
        <v>59</v>
      </c>
      <c r="D367" t="s">
        <v>60</v>
      </c>
      <c r="E367" t="s">
        <v>61</v>
      </c>
      <c r="F367" t="s">
        <v>62</v>
      </c>
      <c r="G367" t="s">
        <v>60</v>
      </c>
      <c r="H367" t="s">
        <v>515</v>
      </c>
      <c r="I367" t="s">
        <v>77</v>
      </c>
      <c r="J367" s="2">
        <v>302.74</v>
      </c>
      <c r="K367">
        <v>11</v>
      </c>
      <c r="L367" t="s">
        <v>65</v>
      </c>
      <c r="M367">
        <v>1</v>
      </c>
      <c r="N367">
        <v>5</v>
      </c>
      <c r="O367">
        <v>0</v>
      </c>
      <c r="P367" t="s">
        <v>74</v>
      </c>
      <c r="Q367" t="s">
        <v>109</v>
      </c>
      <c r="R367">
        <v>0</v>
      </c>
      <c r="S367">
        <v>6</v>
      </c>
      <c r="T367" t="s">
        <v>74</v>
      </c>
      <c r="U367" t="s">
        <v>90</v>
      </c>
      <c r="V367" t="s">
        <v>81</v>
      </c>
      <c r="W367" s="3">
        <v>45471</v>
      </c>
      <c r="X367" t="b">
        <v>1</v>
      </c>
      <c r="Y367" t="b">
        <v>1</v>
      </c>
      <c r="Z367" t="s">
        <v>82</v>
      </c>
      <c r="AA367" t="s">
        <v>97</v>
      </c>
      <c r="AB367">
        <v>5</v>
      </c>
      <c r="AO367" t="str">
        <f t="shared" si="21"/>
        <v>18-25</v>
      </c>
      <c r="BD367">
        <v>11</v>
      </c>
      <c r="BF367" cm="1">
        <f t="array" ref="BF367">CORREL(J367:J1367,S367:S1367)</f>
        <v>-0.0383904315105862</v>
      </c>
      <c r="BH367">
        <v>6</v>
      </c>
      <c r="BI367">
        <f t="shared" si="19"/>
        <v>1.83333333333333</v>
      </c>
      <c r="BJ367">
        <f t="shared" si="20"/>
        <v>3.27272727272727</v>
      </c>
    </row>
    <row r="368" spans="1:62">
      <c r="A368" s="1">
        <v>365932907</v>
      </c>
      <c r="B368">
        <v>42</v>
      </c>
      <c r="C368" t="s">
        <v>268</v>
      </c>
      <c r="D368" t="s">
        <v>74</v>
      </c>
      <c r="E368" t="s">
        <v>86</v>
      </c>
      <c r="F368" t="s">
        <v>62</v>
      </c>
      <c r="G368" t="s">
        <v>74</v>
      </c>
      <c r="H368" t="s">
        <v>516</v>
      </c>
      <c r="I368" t="s">
        <v>174</v>
      </c>
      <c r="J368" s="2">
        <v>157.21</v>
      </c>
      <c r="K368">
        <v>11</v>
      </c>
      <c r="L368" t="s">
        <v>85</v>
      </c>
      <c r="M368">
        <v>3</v>
      </c>
      <c r="N368">
        <v>3</v>
      </c>
      <c r="O368">
        <v>0</v>
      </c>
      <c r="P368" t="s">
        <v>79</v>
      </c>
      <c r="Q368" t="s">
        <v>80</v>
      </c>
      <c r="R368">
        <v>0</v>
      </c>
      <c r="S368">
        <v>3</v>
      </c>
      <c r="T368" t="s">
        <v>74</v>
      </c>
      <c r="U368" t="s">
        <v>68</v>
      </c>
      <c r="V368" t="s">
        <v>91</v>
      </c>
      <c r="W368" s="3">
        <v>45412</v>
      </c>
      <c r="X368" t="b">
        <v>1</v>
      </c>
      <c r="Y368" t="b">
        <v>0</v>
      </c>
      <c r="Z368" t="s">
        <v>82</v>
      </c>
      <c r="AA368" t="s">
        <v>97</v>
      </c>
      <c r="AB368">
        <v>5</v>
      </c>
      <c r="AO368" t="str">
        <f t="shared" si="21"/>
        <v>41-60</v>
      </c>
      <c r="BD368">
        <v>11</v>
      </c>
      <c r="BF368" cm="1">
        <f t="array" ref="BF368">CORREL(J368:J1368,S368:S1368)</f>
        <v>-0.0384467072024604</v>
      </c>
      <c r="BH368">
        <v>3</v>
      </c>
      <c r="BI368">
        <f t="shared" si="19"/>
        <v>3.66666666666667</v>
      </c>
      <c r="BJ368">
        <f t="shared" si="20"/>
        <v>0.818181818181818</v>
      </c>
    </row>
    <row r="369" spans="1:62">
      <c r="A369" s="1">
        <v>226923470</v>
      </c>
      <c r="B369">
        <v>46</v>
      </c>
      <c r="C369" t="s">
        <v>59</v>
      </c>
      <c r="D369" t="s">
        <v>74</v>
      </c>
      <c r="E369" t="s">
        <v>98</v>
      </c>
      <c r="F369" t="s">
        <v>75</v>
      </c>
      <c r="G369" t="s">
        <v>74</v>
      </c>
      <c r="H369" t="s">
        <v>517</v>
      </c>
      <c r="I369" t="s">
        <v>113</v>
      </c>
      <c r="J369" s="2">
        <v>159.45</v>
      </c>
      <c r="K369">
        <v>2</v>
      </c>
      <c r="L369" t="s">
        <v>85</v>
      </c>
      <c r="M369">
        <v>3</v>
      </c>
      <c r="N369">
        <v>2</v>
      </c>
      <c r="O369">
        <v>2</v>
      </c>
      <c r="P369" t="s">
        <v>79</v>
      </c>
      <c r="Q369" t="s">
        <v>109</v>
      </c>
      <c r="R369">
        <v>0</v>
      </c>
      <c r="S369">
        <v>5</v>
      </c>
      <c r="T369" t="s">
        <v>66</v>
      </c>
      <c r="U369" t="s">
        <v>90</v>
      </c>
      <c r="V369" t="s">
        <v>91</v>
      </c>
      <c r="W369" s="3">
        <v>45457</v>
      </c>
      <c r="X369" t="b">
        <v>1</v>
      </c>
      <c r="Y369" t="b">
        <v>0</v>
      </c>
      <c r="Z369" t="s">
        <v>92</v>
      </c>
      <c r="AA369" t="s">
        <v>83</v>
      </c>
      <c r="AB369">
        <v>14</v>
      </c>
      <c r="AO369" t="str">
        <f t="shared" si="21"/>
        <v>41-60</v>
      </c>
      <c r="BD369">
        <v>2</v>
      </c>
      <c r="BF369" cm="1">
        <f t="array" ref="BF369">CORREL(J369:J1369,S369:S1369)</f>
        <v>-0.039751338037481</v>
      </c>
      <c r="BH369">
        <v>5</v>
      </c>
      <c r="BI369">
        <f t="shared" si="19"/>
        <v>0.4</v>
      </c>
      <c r="BJ369">
        <f t="shared" si="20"/>
        <v>12.5</v>
      </c>
    </row>
    <row r="370" spans="1:62">
      <c r="A370" s="1">
        <v>903227329</v>
      </c>
      <c r="B370">
        <v>44</v>
      </c>
      <c r="C370" t="s">
        <v>59</v>
      </c>
      <c r="D370" t="s">
        <v>74</v>
      </c>
      <c r="E370" t="s">
        <v>98</v>
      </c>
      <c r="F370" t="s">
        <v>75</v>
      </c>
      <c r="G370" t="s">
        <v>60</v>
      </c>
      <c r="H370" t="s">
        <v>518</v>
      </c>
      <c r="I370" t="s">
        <v>118</v>
      </c>
      <c r="J370" s="2">
        <v>312.93</v>
      </c>
      <c r="K370">
        <v>2</v>
      </c>
      <c r="L370" t="s">
        <v>78</v>
      </c>
      <c r="M370">
        <v>2</v>
      </c>
      <c r="N370">
        <v>2</v>
      </c>
      <c r="O370">
        <v>1</v>
      </c>
      <c r="P370" t="s">
        <v>74</v>
      </c>
      <c r="Q370" t="s">
        <v>109</v>
      </c>
      <c r="R370">
        <v>0</v>
      </c>
      <c r="S370">
        <v>7</v>
      </c>
      <c r="T370" t="s">
        <v>66</v>
      </c>
      <c r="U370" t="s">
        <v>90</v>
      </c>
      <c r="V370" t="s">
        <v>81</v>
      </c>
      <c r="W370" s="3">
        <v>45508</v>
      </c>
      <c r="X370" t="b">
        <v>1</v>
      </c>
      <c r="Y370" t="b">
        <v>1</v>
      </c>
      <c r="Z370" t="s">
        <v>82</v>
      </c>
      <c r="AA370" t="s">
        <v>71</v>
      </c>
      <c r="AB370">
        <v>3</v>
      </c>
      <c r="AO370" t="str">
        <f t="shared" si="21"/>
        <v>41-60</v>
      </c>
      <c r="BD370">
        <v>2</v>
      </c>
      <c r="BF370" cm="1">
        <f t="array" ref="BF370">CORREL(J370:J1370,S370:S1370)</f>
        <v>-0.0400192556586982</v>
      </c>
      <c r="BH370">
        <v>7</v>
      </c>
      <c r="BI370">
        <f t="shared" si="19"/>
        <v>0.285714285714286</v>
      </c>
      <c r="BJ370">
        <f t="shared" si="20"/>
        <v>24.5</v>
      </c>
    </row>
    <row r="371" spans="1:62">
      <c r="A371" s="1">
        <v>283959872</v>
      </c>
      <c r="B371">
        <v>38</v>
      </c>
      <c r="C371" t="s">
        <v>73</v>
      </c>
      <c r="D371" t="s">
        <v>74</v>
      </c>
      <c r="E371" t="s">
        <v>61</v>
      </c>
      <c r="F371" t="s">
        <v>87</v>
      </c>
      <c r="G371" t="s">
        <v>60</v>
      </c>
      <c r="H371" t="s">
        <v>519</v>
      </c>
      <c r="I371" t="s">
        <v>124</v>
      </c>
      <c r="J371" s="2">
        <v>65.68</v>
      </c>
      <c r="K371">
        <v>4</v>
      </c>
      <c r="L371" t="s">
        <v>78</v>
      </c>
      <c r="M371">
        <v>4</v>
      </c>
      <c r="N371">
        <v>4</v>
      </c>
      <c r="O371">
        <v>0</v>
      </c>
      <c r="P371" t="s">
        <v>79</v>
      </c>
      <c r="Q371" t="s">
        <v>80</v>
      </c>
      <c r="R371">
        <v>0</v>
      </c>
      <c r="S371">
        <v>8</v>
      </c>
      <c r="T371" t="s">
        <v>79</v>
      </c>
      <c r="U371" t="s">
        <v>90</v>
      </c>
      <c r="V371" t="s">
        <v>96</v>
      </c>
      <c r="W371" s="3">
        <v>45419</v>
      </c>
      <c r="X371" t="b">
        <v>0</v>
      </c>
      <c r="Y371" t="b">
        <v>0</v>
      </c>
      <c r="Z371" t="s">
        <v>92</v>
      </c>
      <c r="AA371" t="s">
        <v>83</v>
      </c>
      <c r="AB371">
        <v>12</v>
      </c>
      <c r="AO371" t="str">
        <f t="shared" si="21"/>
        <v>26-40</v>
      </c>
      <c r="BD371">
        <v>4</v>
      </c>
      <c r="BF371" cm="1">
        <f t="array" ref="BF371">CORREL(J371:J1371,S371:S1371)</f>
        <v>-0.0402522208065229</v>
      </c>
      <c r="BH371">
        <v>8</v>
      </c>
      <c r="BI371">
        <f t="shared" si="19"/>
        <v>0.5</v>
      </c>
      <c r="BJ371">
        <f t="shared" si="20"/>
        <v>16</v>
      </c>
    </row>
    <row r="372" spans="1:62">
      <c r="A372" s="1">
        <v>792971061</v>
      </c>
      <c r="B372">
        <v>44</v>
      </c>
      <c r="C372" t="s">
        <v>73</v>
      </c>
      <c r="D372" t="s">
        <v>60</v>
      </c>
      <c r="E372" t="s">
        <v>86</v>
      </c>
      <c r="F372" t="s">
        <v>87</v>
      </c>
      <c r="G372" t="s">
        <v>60</v>
      </c>
      <c r="H372" t="s">
        <v>520</v>
      </c>
      <c r="I372" t="s">
        <v>133</v>
      </c>
      <c r="J372" s="2">
        <v>61.86</v>
      </c>
      <c r="K372">
        <v>5</v>
      </c>
      <c r="L372" t="s">
        <v>78</v>
      </c>
      <c r="M372">
        <v>4</v>
      </c>
      <c r="N372">
        <v>5</v>
      </c>
      <c r="O372">
        <v>2</v>
      </c>
      <c r="P372" t="s">
        <v>66</v>
      </c>
      <c r="Q372" t="s">
        <v>80</v>
      </c>
      <c r="R372">
        <v>2</v>
      </c>
      <c r="S372">
        <v>8</v>
      </c>
      <c r="T372" t="s">
        <v>66</v>
      </c>
      <c r="U372" t="s">
        <v>90</v>
      </c>
      <c r="V372" t="s">
        <v>110</v>
      </c>
      <c r="W372" s="3">
        <v>45611</v>
      </c>
      <c r="X372" t="b">
        <v>0</v>
      </c>
      <c r="Y372" t="b">
        <v>1</v>
      </c>
      <c r="Z372" t="s">
        <v>70</v>
      </c>
      <c r="AA372" t="s">
        <v>83</v>
      </c>
      <c r="AB372">
        <v>9</v>
      </c>
      <c r="AO372" t="str">
        <f t="shared" si="21"/>
        <v>41-60</v>
      </c>
      <c r="BD372">
        <v>5</v>
      </c>
      <c r="BF372" cm="1">
        <f t="array" ref="BF372">CORREL(J372:J1372,S372:S1372)</f>
        <v>-0.0381075117176943</v>
      </c>
      <c r="BH372">
        <v>8</v>
      </c>
      <c r="BI372">
        <f t="shared" si="19"/>
        <v>0.625</v>
      </c>
      <c r="BJ372">
        <f t="shared" si="20"/>
        <v>12.8</v>
      </c>
    </row>
    <row r="373" spans="1:62">
      <c r="A373" s="1">
        <v>936499356</v>
      </c>
      <c r="B373">
        <v>18</v>
      </c>
      <c r="C373" t="s">
        <v>59</v>
      </c>
      <c r="D373" t="s">
        <v>74</v>
      </c>
      <c r="E373" t="s">
        <v>86</v>
      </c>
      <c r="F373" t="s">
        <v>87</v>
      </c>
      <c r="G373" t="s">
        <v>60</v>
      </c>
      <c r="H373" t="s">
        <v>521</v>
      </c>
      <c r="I373" t="s">
        <v>131</v>
      </c>
      <c r="J373" s="2">
        <v>343.77</v>
      </c>
      <c r="K373">
        <v>6</v>
      </c>
      <c r="L373" t="s">
        <v>65</v>
      </c>
      <c r="M373">
        <v>5</v>
      </c>
      <c r="N373">
        <v>4</v>
      </c>
      <c r="O373">
        <v>2</v>
      </c>
      <c r="P373" t="s">
        <v>66</v>
      </c>
      <c r="Q373" t="s">
        <v>80</v>
      </c>
      <c r="R373">
        <v>2</v>
      </c>
      <c r="S373">
        <v>4</v>
      </c>
      <c r="T373" t="s">
        <v>79</v>
      </c>
      <c r="U373" t="s">
        <v>105</v>
      </c>
      <c r="V373" t="s">
        <v>69</v>
      </c>
      <c r="W373" s="3">
        <v>45338</v>
      </c>
      <c r="X373" t="b">
        <v>1</v>
      </c>
      <c r="Y373" t="b">
        <v>0</v>
      </c>
      <c r="Z373" t="s">
        <v>92</v>
      </c>
      <c r="AA373" t="s">
        <v>71</v>
      </c>
      <c r="AB373">
        <v>3</v>
      </c>
      <c r="AO373" t="str">
        <f t="shared" si="21"/>
        <v>18-25</v>
      </c>
      <c r="BD373">
        <v>6</v>
      </c>
      <c r="BF373" cm="1">
        <f t="array" ref="BF373">CORREL(J373:J1373,S373:S1373)</f>
        <v>-0.0359066062377638</v>
      </c>
      <c r="BH373">
        <v>4</v>
      </c>
      <c r="BI373">
        <f t="shared" si="19"/>
        <v>1.5</v>
      </c>
      <c r="BJ373">
        <f t="shared" si="20"/>
        <v>2.66666666666667</v>
      </c>
    </row>
    <row r="374" spans="1:62">
      <c r="A374" s="1">
        <v>275437069</v>
      </c>
      <c r="B374">
        <v>37</v>
      </c>
      <c r="C374" t="s">
        <v>73</v>
      </c>
      <c r="D374" t="s">
        <v>60</v>
      </c>
      <c r="E374" t="s">
        <v>103</v>
      </c>
      <c r="F374" t="s">
        <v>87</v>
      </c>
      <c r="G374" t="s">
        <v>74</v>
      </c>
      <c r="H374" t="s">
        <v>522</v>
      </c>
      <c r="I374" t="s">
        <v>95</v>
      </c>
      <c r="J374" s="2">
        <v>107.21</v>
      </c>
      <c r="K374">
        <v>2</v>
      </c>
      <c r="L374" t="s">
        <v>85</v>
      </c>
      <c r="M374">
        <v>4</v>
      </c>
      <c r="N374">
        <v>2</v>
      </c>
      <c r="O374">
        <v>1</v>
      </c>
      <c r="P374" t="s">
        <v>66</v>
      </c>
      <c r="Q374" t="s">
        <v>80</v>
      </c>
      <c r="R374">
        <v>2</v>
      </c>
      <c r="S374">
        <v>9</v>
      </c>
      <c r="T374" t="s">
        <v>79</v>
      </c>
      <c r="U374" t="s">
        <v>105</v>
      </c>
      <c r="V374" t="s">
        <v>96</v>
      </c>
      <c r="W374" s="3">
        <v>45509</v>
      </c>
      <c r="X374" t="b">
        <v>1</v>
      </c>
      <c r="Y374" t="b">
        <v>1</v>
      </c>
      <c r="Z374" t="s">
        <v>102</v>
      </c>
      <c r="AA374" t="s">
        <v>83</v>
      </c>
      <c r="AB374">
        <v>6</v>
      </c>
      <c r="AO374" t="str">
        <f t="shared" si="21"/>
        <v>26-40</v>
      </c>
      <c r="BD374">
        <v>2</v>
      </c>
      <c r="BF374" cm="1">
        <f t="array" ref="BF374">CORREL(J374:J1374,S374:S1374)</f>
        <v>-0.0355148100560977</v>
      </c>
      <c r="BH374">
        <v>9</v>
      </c>
      <c r="BI374">
        <f t="shared" si="19"/>
        <v>0.222222222222222</v>
      </c>
      <c r="BJ374">
        <f t="shared" si="20"/>
        <v>40.5</v>
      </c>
    </row>
    <row r="375" spans="1:62">
      <c r="A375" s="1">
        <v>960799597</v>
      </c>
      <c r="B375">
        <v>31</v>
      </c>
      <c r="C375" t="s">
        <v>150</v>
      </c>
      <c r="D375" t="s">
        <v>74</v>
      </c>
      <c r="E375" t="s">
        <v>86</v>
      </c>
      <c r="F375" t="s">
        <v>87</v>
      </c>
      <c r="G375" t="s">
        <v>60</v>
      </c>
      <c r="H375" t="s">
        <v>523</v>
      </c>
      <c r="I375" t="s">
        <v>95</v>
      </c>
      <c r="J375" s="2">
        <v>148.98</v>
      </c>
      <c r="K375">
        <v>12</v>
      </c>
      <c r="L375" t="s">
        <v>85</v>
      </c>
      <c r="M375">
        <v>5</v>
      </c>
      <c r="N375">
        <v>1</v>
      </c>
      <c r="O375">
        <v>2</v>
      </c>
      <c r="P375" t="s">
        <v>66</v>
      </c>
      <c r="Q375" t="s">
        <v>109</v>
      </c>
      <c r="R375">
        <v>0</v>
      </c>
      <c r="S375">
        <v>8</v>
      </c>
      <c r="T375" t="s">
        <v>84</v>
      </c>
      <c r="U375" t="s">
        <v>68</v>
      </c>
      <c r="V375" t="s">
        <v>91</v>
      </c>
      <c r="W375" s="3">
        <v>45515</v>
      </c>
      <c r="X375" t="b">
        <v>1</v>
      </c>
      <c r="Y375" t="b">
        <v>1</v>
      </c>
      <c r="Z375" t="s">
        <v>82</v>
      </c>
      <c r="AA375" t="s">
        <v>83</v>
      </c>
      <c r="AB375">
        <v>13</v>
      </c>
      <c r="AO375" t="str">
        <f t="shared" si="21"/>
        <v>26-40</v>
      </c>
      <c r="BD375">
        <v>12</v>
      </c>
      <c r="BF375" cm="1">
        <f t="array" ref="BF375">CORREL(J375:J1375,S375:S1375)</f>
        <v>-0.0330477925941297</v>
      </c>
      <c r="BH375">
        <v>8</v>
      </c>
      <c r="BI375">
        <f t="shared" si="19"/>
        <v>1.5</v>
      </c>
      <c r="BJ375">
        <f t="shared" si="20"/>
        <v>5.33333333333333</v>
      </c>
    </row>
    <row r="376" spans="1:62">
      <c r="A376" s="1">
        <v>389404942</v>
      </c>
      <c r="B376">
        <v>22</v>
      </c>
      <c r="C376" t="s">
        <v>59</v>
      </c>
      <c r="D376" t="s">
        <v>74</v>
      </c>
      <c r="E376" t="s">
        <v>98</v>
      </c>
      <c r="F376" t="s">
        <v>87</v>
      </c>
      <c r="G376" t="s">
        <v>60</v>
      </c>
      <c r="H376" t="s">
        <v>524</v>
      </c>
      <c r="I376" t="s">
        <v>122</v>
      </c>
      <c r="J376" s="2">
        <v>490.41</v>
      </c>
      <c r="K376">
        <v>4</v>
      </c>
      <c r="L376" t="s">
        <v>65</v>
      </c>
      <c r="M376">
        <v>3</v>
      </c>
      <c r="N376">
        <v>4</v>
      </c>
      <c r="O376">
        <v>0</v>
      </c>
      <c r="P376" t="s">
        <v>84</v>
      </c>
      <c r="Q376" t="s">
        <v>67</v>
      </c>
      <c r="R376">
        <v>0</v>
      </c>
      <c r="S376">
        <v>2</v>
      </c>
      <c r="T376" t="s">
        <v>74</v>
      </c>
      <c r="U376" t="s">
        <v>68</v>
      </c>
      <c r="V376" t="s">
        <v>96</v>
      </c>
      <c r="W376" s="3">
        <v>45641</v>
      </c>
      <c r="X376" t="b">
        <v>0</v>
      </c>
      <c r="Y376" t="b">
        <v>1</v>
      </c>
      <c r="Z376" t="s">
        <v>102</v>
      </c>
      <c r="AA376" t="s">
        <v>97</v>
      </c>
      <c r="AB376">
        <v>3</v>
      </c>
      <c r="AO376" t="str">
        <f t="shared" si="21"/>
        <v>18-25</v>
      </c>
      <c r="BD376">
        <v>4</v>
      </c>
      <c r="BF376" cm="1">
        <f t="array" ref="BF376">CORREL(J376:J1376,S376:S1376)</f>
        <v>-0.0317010241360466</v>
      </c>
      <c r="BH376">
        <v>2</v>
      </c>
      <c r="BI376">
        <f t="shared" si="19"/>
        <v>2</v>
      </c>
      <c r="BJ376">
        <f t="shared" si="20"/>
        <v>1</v>
      </c>
    </row>
    <row r="377" spans="1:62">
      <c r="A377" s="1">
        <v>820142564</v>
      </c>
      <c r="B377">
        <v>33</v>
      </c>
      <c r="C377" t="s">
        <v>73</v>
      </c>
      <c r="D377" t="s">
        <v>74</v>
      </c>
      <c r="E377" t="s">
        <v>61</v>
      </c>
      <c r="F377" t="s">
        <v>75</v>
      </c>
      <c r="G377" t="s">
        <v>60</v>
      </c>
      <c r="H377" t="s">
        <v>525</v>
      </c>
      <c r="I377" t="s">
        <v>156</v>
      </c>
      <c r="J377" s="2">
        <v>461.34</v>
      </c>
      <c r="K377">
        <v>4</v>
      </c>
      <c r="L377" t="s">
        <v>78</v>
      </c>
      <c r="M377">
        <v>3</v>
      </c>
      <c r="N377">
        <v>1</v>
      </c>
      <c r="O377">
        <v>0</v>
      </c>
      <c r="P377" t="s">
        <v>74</v>
      </c>
      <c r="Q377" t="s">
        <v>67</v>
      </c>
      <c r="R377">
        <v>1</v>
      </c>
      <c r="S377">
        <v>9</v>
      </c>
      <c r="T377" t="s">
        <v>84</v>
      </c>
      <c r="U377" t="s">
        <v>105</v>
      </c>
      <c r="V377" t="s">
        <v>110</v>
      </c>
      <c r="W377" s="3">
        <v>45357</v>
      </c>
      <c r="X377" t="b">
        <v>0</v>
      </c>
      <c r="Y377" t="b">
        <v>1</v>
      </c>
      <c r="Z377" t="s">
        <v>82</v>
      </c>
      <c r="AA377" t="s">
        <v>97</v>
      </c>
      <c r="AB377">
        <v>7</v>
      </c>
      <c r="AO377" t="str">
        <f t="shared" si="21"/>
        <v>26-40</v>
      </c>
      <c r="BD377">
        <v>4</v>
      </c>
      <c r="BF377" cm="1">
        <f t="array" ref="BF377">CORREL(J377:J1377,S377:S1377)</f>
        <v>-0.0286803225055189</v>
      </c>
      <c r="BH377">
        <v>9</v>
      </c>
      <c r="BI377">
        <f t="shared" si="19"/>
        <v>0.444444444444444</v>
      </c>
      <c r="BJ377">
        <f t="shared" si="20"/>
        <v>20.25</v>
      </c>
    </row>
    <row r="378" spans="1:62">
      <c r="A378" s="1">
        <v>706995799</v>
      </c>
      <c r="B378">
        <v>20</v>
      </c>
      <c r="C378" t="s">
        <v>59</v>
      </c>
      <c r="D378" t="s">
        <v>74</v>
      </c>
      <c r="E378" t="s">
        <v>86</v>
      </c>
      <c r="F378" t="s">
        <v>87</v>
      </c>
      <c r="G378" t="s">
        <v>74</v>
      </c>
      <c r="H378" t="s">
        <v>526</v>
      </c>
      <c r="I378" t="s">
        <v>89</v>
      </c>
      <c r="J378" s="2">
        <v>338.89</v>
      </c>
      <c r="K378">
        <v>7</v>
      </c>
      <c r="L378" t="s">
        <v>78</v>
      </c>
      <c r="M378">
        <v>4</v>
      </c>
      <c r="N378">
        <v>2</v>
      </c>
      <c r="O378">
        <v>1</v>
      </c>
      <c r="P378" t="s">
        <v>84</v>
      </c>
      <c r="Q378" t="s">
        <v>67</v>
      </c>
      <c r="R378">
        <v>2</v>
      </c>
      <c r="S378">
        <v>6</v>
      </c>
      <c r="T378" t="s">
        <v>66</v>
      </c>
      <c r="U378" t="s">
        <v>105</v>
      </c>
      <c r="V378" t="s">
        <v>69</v>
      </c>
      <c r="W378" s="3">
        <v>45433</v>
      </c>
      <c r="X378" t="b">
        <v>1</v>
      </c>
      <c r="Y378" t="b">
        <v>1</v>
      </c>
      <c r="Z378" t="s">
        <v>82</v>
      </c>
      <c r="AA378" t="s">
        <v>97</v>
      </c>
      <c r="AB378">
        <v>3</v>
      </c>
      <c r="AO378" t="str">
        <f t="shared" si="21"/>
        <v>18-25</v>
      </c>
      <c r="BD378">
        <v>7</v>
      </c>
      <c r="BF378" cm="1">
        <f t="array" ref="BF378">CORREL(J378:J1378,S378:S1378)</f>
        <v>-0.0315084184645687</v>
      </c>
      <c r="BH378">
        <v>6</v>
      </c>
      <c r="BI378">
        <f t="shared" si="19"/>
        <v>1.16666666666667</v>
      </c>
      <c r="BJ378">
        <f t="shared" si="20"/>
        <v>5.14285714285714</v>
      </c>
    </row>
    <row r="379" spans="1:62">
      <c r="A379" s="1">
        <v>532402040</v>
      </c>
      <c r="B379">
        <v>26</v>
      </c>
      <c r="C379" t="s">
        <v>73</v>
      </c>
      <c r="D379" t="s">
        <v>74</v>
      </c>
      <c r="E379" t="s">
        <v>61</v>
      </c>
      <c r="F379" t="s">
        <v>75</v>
      </c>
      <c r="G379" t="s">
        <v>74</v>
      </c>
      <c r="H379" t="s">
        <v>527</v>
      </c>
      <c r="I379" t="s">
        <v>64</v>
      </c>
      <c r="J379" s="2">
        <v>222.63</v>
      </c>
      <c r="K379">
        <v>3</v>
      </c>
      <c r="L379" t="s">
        <v>65</v>
      </c>
      <c r="M379">
        <v>1</v>
      </c>
      <c r="N379">
        <v>1</v>
      </c>
      <c r="O379">
        <v>0</v>
      </c>
      <c r="P379" t="s">
        <v>79</v>
      </c>
      <c r="Q379" t="s">
        <v>67</v>
      </c>
      <c r="R379">
        <v>2</v>
      </c>
      <c r="S379">
        <v>2</v>
      </c>
      <c r="T379" t="s">
        <v>66</v>
      </c>
      <c r="U379" t="s">
        <v>68</v>
      </c>
      <c r="V379" t="s">
        <v>110</v>
      </c>
      <c r="W379" s="3">
        <v>45374</v>
      </c>
      <c r="X379" t="b">
        <v>0</v>
      </c>
      <c r="Y379" t="b">
        <v>1</v>
      </c>
      <c r="Z379" t="s">
        <v>92</v>
      </c>
      <c r="AA379" t="s">
        <v>97</v>
      </c>
      <c r="AB379">
        <v>6</v>
      </c>
      <c r="AO379" t="str">
        <f t="shared" si="21"/>
        <v>26-40</v>
      </c>
      <c r="BD379">
        <v>3</v>
      </c>
      <c r="BF379" cm="1">
        <f t="array" ref="BF379">CORREL(J379:J1379,S379:S1379)</f>
        <v>-0.0316515075223891</v>
      </c>
      <c r="BH379">
        <v>2</v>
      </c>
      <c r="BI379">
        <f t="shared" si="19"/>
        <v>1.5</v>
      </c>
      <c r="BJ379">
        <f t="shared" si="20"/>
        <v>1.33333333333333</v>
      </c>
    </row>
    <row r="380" spans="1:62">
      <c r="A380" s="1">
        <v>277422776</v>
      </c>
      <c r="B380">
        <v>26</v>
      </c>
      <c r="C380" t="s">
        <v>73</v>
      </c>
      <c r="D380" t="s">
        <v>74</v>
      </c>
      <c r="E380" t="s">
        <v>61</v>
      </c>
      <c r="F380" t="s">
        <v>75</v>
      </c>
      <c r="G380" t="s">
        <v>74</v>
      </c>
      <c r="H380" t="s">
        <v>528</v>
      </c>
      <c r="I380" t="s">
        <v>137</v>
      </c>
      <c r="J380" s="2">
        <v>71.95</v>
      </c>
      <c r="K380">
        <v>2</v>
      </c>
      <c r="L380" t="s">
        <v>65</v>
      </c>
      <c r="M380">
        <v>3</v>
      </c>
      <c r="N380">
        <v>5</v>
      </c>
      <c r="O380">
        <v>2</v>
      </c>
      <c r="P380" t="s">
        <v>66</v>
      </c>
      <c r="Q380" t="s">
        <v>109</v>
      </c>
      <c r="R380">
        <v>2</v>
      </c>
      <c r="S380">
        <v>10</v>
      </c>
      <c r="T380" t="s">
        <v>66</v>
      </c>
      <c r="U380" t="s">
        <v>105</v>
      </c>
      <c r="V380" t="s">
        <v>91</v>
      </c>
      <c r="W380" s="3">
        <v>45557</v>
      </c>
      <c r="X380" t="b">
        <v>0</v>
      </c>
      <c r="Y380" t="b">
        <v>1</v>
      </c>
      <c r="Z380" t="s">
        <v>102</v>
      </c>
      <c r="AA380" t="s">
        <v>71</v>
      </c>
      <c r="AB380">
        <v>13</v>
      </c>
      <c r="AO380" t="str">
        <f t="shared" si="21"/>
        <v>26-40</v>
      </c>
      <c r="BD380">
        <v>2</v>
      </c>
      <c r="BF380" cm="1">
        <f t="array" ref="BF380">CORREL(J380:J1380,S380:S1380)</f>
        <v>-0.0325209189811865</v>
      </c>
      <c r="BH380">
        <v>10</v>
      </c>
      <c r="BI380">
        <f t="shared" si="19"/>
        <v>0.2</v>
      </c>
      <c r="BJ380">
        <f t="shared" si="20"/>
        <v>50</v>
      </c>
    </row>
    <row r="381" spans="1:62">
      <c r="A381" s="1">
        <v>556207906</v>
      </c>
      <c r="B381">
        <v>21</v>
      </c>
      <c r="C381" t="s">
        <v>73</v>
      </c>
      <c r="D381" t="s">
        <v>74</v>
      </c>
      <c r="E381" t="s">
        <v>103</v>
      </c>
      <c r="F381" t="s">
        <v>75</v>
      </c>
      <c r="G381" t="s">
        <v>60</v>
      </c>
      <c r="H381" t="s">
        <v>529</v>
      </c>
      <c r="I381" t="s">
        <v>133</v>
      </c>
      <c r="J381" s="2">
        <v>264.52</v>
      </c>
      <c r="K381">
        <v>9</v>
      </c>
      <c r="L381" t="s">
        <v>85</v>
      </c>
      <c r="M381">
        <v>3</v>
      </c>
      <c r="N381">
        <v>3</v>
      </c>
      <c r="O381">
        <v>1</v>
      </c>
      <c r="P381" t="s">
        <v>66</v>
      </c>
      <c r="Q381" t="s">
        <v>80</v>
      </c>
      <c r="R381">
        <v>0</v>
      </c>
      <c r="S381">
        <v>10</v>
      </c>
      <c r="T381" t="s">
        <v>66</v>
      </c>
      <c r="U381" t="s">
        <v>90</v>
      </c>
      <c r="V381" t="s">
        <v>91</v>
      </c>
      <c r="W381" s="3">
        <v>45384</v>
      </c>
      <c r="X381" t="b">
        <v>1</v>
      </c>
      <c r="Y381" t="b">
        <v>1</v>
      </c>
      <c r="Z381" t="s">
        <v>102</v>
      </c>
      <c r="AA381" t="s">
        <v>71</v>
      </c>
      <c r="AB381">
        <v>6</v>
      </c>
      <c r="AO381" t="str">
        <f t="shared" si="21"/>
        <v>18-25</v>
      </c>
      <c r="BD381">
        <v>9</v>
      </c>
      <c r="BF381" cm="1">
        <f t="array" ref="BF381">CORREL(J381:J1381,S381:S1381)</f>
        <v>-0.0286383106894451</v>
      </c>
      <c r="BH381">
        <v>10</v>
      </c>
      <c r="BI381">
        <f t="shared" si="19"/>
        <v>0.9</v>
      </c>
      <c r="BJ381">
        <f t="shared" si="20"/>
        <v>11.1111111111111</v>
      </c>
    </row>
    <row r="382" spans="1:62">
      <c r="A382" s="4" t="s">
        <v>530</v>
      </c>
      <c r="B382">
        <v>43</v>
      </c>
      <c r="C382" t="s">
        <v>73</v>
      </c>
      <c r="D382" t="s">
        <v>74</v>
      </c>
      <c r="E382" t="s">
        <v>103</v>
      </c>
      <c r="F382" t="s">
        <v>75</v>
      </c>
      <c r="G382" t="s">
        <v>74</v>
      </c>
      <c r="H382" t="s">
        <v>531</v>
      </c>
      <c r="I382" t="s">
        <v>77</v>
      </c>
      <c r="J382" s="2">
        <v>414.8</v>
      </c>
      <c r="K382">
        <v>9</v>
      </c>
      <c r="L382" t="s">
        <v>65</v>
      </c>
      <c r="M382">
        <v>2</v>
      </c>
      <c r="N382">
        <v>3</v>
      </c>
      <c r="O382">
        <v>2</v>
      </c>
      <c r="P382" t="s">
        <v>84</v>
      </c>
      <c r="Q382" t="s">
        <v>109</v>
      </c>
      <c r="R382">
        <v>2</v>
      </c>
      <c r="S382">
        <v>9</v>
      </c>
      <c r="T382" t="s">
        <v>66</v>
      </c>
      <c r="U382" t="s">
        <v>105</v>
      </c>
      <c r="V382" t="s">
        <v>81</v>
      </c>
      <c r="W382" s="3">
        <v>45321</v>
      </c>
      <c r="X382" t="b">
        <v>0</v>
      </c>
      <c r="Y382" t="b">
        <v>1</v>
      </c>
      <c r="Z382" t="s">
        <v>102</v>
      </c>
      <c r="AA382" t="s">
        <v>71</v>
      </c>
      <c r="AB382">
        <v>7</v>
      </c>
      <c r="AO382" t="str">
        <f t="shared" si="21"/>
        <v>41-60</v>
      </c>
      <c r="BD382">
        <v>9</v>
      </c>
      <c r="BF382" cm="1">
        <f t="array" ref="BF382">CORREL(J382:J1382,S382:S1382)</f>
        <v>-0.0284204069900518</v>
      </c>
      <c r="BH382">
        <v>9</v>
      </c>
      <c r="BI382">
        <f t="shared" si="19"/>
        <v>1</v>
      </c>
      <c r="BJ382">
        <f t="shared" si="20"/>
        <v>9</v>
      </c>
    </row>
    <row r="383" spans="1:62">
      <c r="A383" s="1">
        <v>793847469</v>
      </c>
      <c r="B383">
        <v>50</v>
      </c>
      <c r="C383" t="s">
        <v>73</v>
      </c>
      <c r="D383" t="s">
        <v>60</v>
      </c>
      <c r="E383" t="s">
        <v>86</v>
      </c>
      <c r="F383" t="s">
        <v>62</v>
      </c>
      <c r="G383" t="s">
        <v>74</v>
      </c>
      <c r="H383" t="s">
        <v>532</v>
      </c>
      <c r="I383" t="s">
        <v>156</v>
      </c>
      <c r="J383" s="2">
        <v>50.79</v>
      </c>
      <c r="K383">
        <v>12</v>
      </c>
      <c r="L383" t="s">
        <v>65</v>
      </c>
      <c r="M383">
        <v>5</v>
      </c>
      <c r="N383">
        <v>1</v>
      </c>
      <c r="O383">
        <v>0</v>
      </c>
      <c r="P383" t="s">
        <v>79</v>
      </c>
      <c r="Q383" t="s">
        <v>67</v>
      </c>
      <c r="R383">
        <v>0</v>
      </c>
      <c r="S383">
        <v>2</v>
      </c>
      <c r="T383" t="s">
        <v>79</v>
      </c>
      <c r="U383" t="s">
        <v>105</v>
      </c>
      <c r="V383" t="s">
        <v>96</v>
      </c>
      <c r="W383" s="3">
        <v>45440</v>
      </c>
      <c r="X383" t="b">
        <v>1</v>
      </c>
      <c r="Y383" t="b">
        <v>0</v>
      </c>
      <c r="Z383" t="s">
        <v>102</v>
      </c>
      <c r="AA383" t="s">
        <v>83</v>
      </c>
      <c r="AB383">
        <v>3</v>
      </c>
      <c r="AO383" t="str">
        <f t="shared" si="21"/>
        <v>41-60</v>
      </c>
      <c r="BD383">
        <v>12</v>
      </c>
      <c r="BF383" cm="1">
        <f t="array" ref="BF383">CORREL(J383:J1383,S383:S1383)</f>
        <v>-0.0305573771345264</v>
      </c>
      <c r="BH383">
        <v>2</v>
      </c>
      <c r="BI383">
        <f t="shared" si="19"/>
        <v>6</v>
      </c>
      <c r="BJ383">
        <f t="shared" si="20"/>
        <v>0.333333333333333</v>
      </c>
    </row>
    <row r="384" spans="1:62">
      <c r="A384" s="1">
        <v>308395589</v>
      </c>
      <c r="B384">
        <v>42</v>
      </c>
      <c r="C384" t="s">
        <v>59</v>
      </c>
      <c r="D384" t="s">
        <v>60</v>
      </c>
      <c r="E384" t="s">
        <v>61</v>
      </c>
      <c r="F384" t="s">
        <v>75</v>
      </c>
      <c r="G384" t="s">
        <v>60</v>
      </c>
      <c r="H384" t="s">
        <v>533</v>
      </c>
      <c r="I384" t="s">
        <v>124</v>
      </c>
      <c r="J384" s="2">
        <v>264.3</v>
      </c>
      <c r="K384">
        <v>10</v>
      </c>
      <c r="L384" t="s">
        <v>78</v>
      </c>
      <c r="M384">
        <v>5</v>
      </c>
      <c r="N384">
        <v>4</v>
      </c>
      <c r="O384">
        <v>1</v>
      </c>
      <c r="P384" t="s">
        <v>84</v>
      </c>
      <c r="Q384" t="s">
        <v>80</v>
      </c>
      <c r="R384">
        <v>2</v>
      </c>
      <c r="S384">
        <v>2</v>
      </c>
      <c r="T384" t="s">
        <v>74</v>
      </c>
      <c r="U384" t="s">
        <v>90</v>
      </c>
      <c r="V384" t="s">
        <v>81</v>
      </c>
      <c r="W384" s="3">
        <v>45524</v>
      </c>
      <c r="X384" t="b">
        <v>1</v>
      </c>
      <c r="Y384" t="b">
        <v>1</v>
      </c>
      <c r="Z384" t="s">
        <v>102</v>
      </c>
      <c r="AA384" t="s">
        <v>71</v>
      </c>
      <c r="AB384">
        <v>5</v>
      </c>
      <c r="AO384" t="str">
        <f t="shared" si="21"/>
        <v>41-60</v>
      </c>
      <c r="BD384">
        <v>10</v>
      </c>
      <c r="BF384" cm="1">
        <f t="array" ref="BF384">CORREL(J384:J1384,S384:S1384)</f>
        <v>-0.0340724770468725</v>
      </c>
      <c r="BH384">
        <v>2</v>
      </c>
      <c r="BI384">
        <f t="shared" si="19"/>
        <v>5</v>
      </c>
      <c r="BJ384">
        <f t="shared" si="20"/>
        <v>0.4</v>
      </c>
    </row>
    <row r="385" spans="1:62">
      <c r="A385" s="1">
        <v>768489229</v>
      </c>
      <c r="B385">
        <v>29</v>
      </c>
      <c r="C385" t="s">
        <v>73</v>
      </c>
      <c r="D385" t="s">
        <v>74</v>
      </c>
      <c r="E385" t="s">
        <v>61</v>
      </c>
      <c r="F385" t="s">
        <v>62</v>
      </c>
      <c r="G385" t="s">
        <v>60</v>
      </c>
      <c r="H385" t="s">
        <v>534</v>
      </c>
      <c r="I385" t="s">
        <v>120</v>
      </c>
      <c r="J385" s="2">
        <v>122.46</v>
      </c>
      <c r="K385">
        <v>12</v>
      </c>
      <c r="L385" t="s">
        <v>65</v>
      </c>
      <c r="M385">
        <v>2</v>
      </c>
      <c r="N385">
        <v>3</v>
      </c>
      <c r="O385">
        <v>0</v>
      </c>
      <c r="P385" t="s">
        <v>74</v>
      </c>
      <c r="Q385" t="s">
        <v>80</v>
      </c>
      <c r="R385">
        <v>0</v>
      </c>
      <c r="S385">
        <v>3</v>
      </c>
      <c r="T385" t="s">
        <v>84</v>
      </c>
      <c r="U385" t="s">
        <v>68</v>
      </c>
      <c r="V385" t="s">
        <v>69</v>
      </c>
      <c r="W385" s="3">
        <v>45337</v>
      </c>
      <c r="X385" t="b">
        <v>0</v>
      </c>
      <c r="Y385" t="b">
        <v>1</v>
      </c>
      <c r="Z385" t="s">
        <v>82</v>
      </c>
      <c r="AA385" t="s">
        <v>83</v>
      </c>
      <c r="AB385">
        <v>6</v>
      </c>
      <c r="AO385" t="str">
        <f t="shared" si="21"/>
        <v>26-40</v>
      </c>
      <c r="BD385">
        <v>12</v>
      </c>
      <c r="BF385" cm="1">
        <f t="array" ref="BF385">CORREL(J385:J1385,S385:S1385)</f>
        <v>-0.0343339539835397</v>
      </c>
      <c r="BH385">
        <v>3</v>
      </c>
      <c r="BI385">
        <f t="shared" si="19"/>
        <v>4</v>
      </c>
      <c r="BJ385">
        <f t="shared" si="20"/>
        <v>0.75</v>
      </c>
    </row>
    <row r="386" spans="1:62">
      <c r="A386" s="1">
        <v>985596096</v>
      </c>
      <c r="B386">
        <v>20</v>
      </c>
      <c r="C386" t="s">
        <v>73</v>
      </c>
      <c r="D386" t="s">
        <v>60</v>
      </c>
      <c r="E386" t="s">
        <v>98</v>
      </c>
      <c r="F386" t="s">
        <v>75</v>
      </c>
      <c r="G386" t="s">
        <v>60</v>
      </c>
      <c r="H386" t="s">
        <v>535</v>
      </c>
      <c r="I386" t="s">
        <v>133</v>
      </c>
      <c r="J386" s="2">
        <v>238.01</v>
      </c>
      <c r="K386">
        <v>8</v>
      </c>
      <c r="L386" t="s">
        <v>78</v>
      </c>
      <c r="M386">
        <v>2</v>
      </c>
      <c r="N386">
        <v>2</v>
      </c>
      <c r="O386">
        <v>0</v>
      </c>
      <c r="P386" t="s">
        <v>74</v>
      </c>
      <c r="Q386" t="s">
        <v>67</v>
      </c>
      <c r="R386">
        <v>0</v>
      </c>
      <c r="S386">
        <v>9</v>
      </c>
      <c r="T386" t="s">
        <v>84</v>
      </c>
      <c r="U386" t="s">
        <v>105</v>
      </c>
      <c r="V386" t="s">
        <v>110</v>
      </c>
      <c r="W386" s="3">
        <v>45486</v>
      </c>
      <c r="X386" t="b">
        <v>0</v>
      </c>
      <c r="Y386" t="b">
        <v>1</v>
      </c>
      <c r="Z386" t="s">
        <v>70</v>
      </c>
      <c r="AA386" t="s">
        <v>83</v>
      </c>
      <c r="AB386">
        <v>5</v>
      </c>
      <c r="AO386" t="str">
        <f t="shared" si="21"/>
        <v>18-25</v>
      </c>
      <c r="BD386">
        <v>8</v>
      </c>
      <c r="BF386" cm="1">
        <f t="array" ref="BF386">CORREL(J386:J1386,S386:S1386)</f>
        <v>-0.036068806680614</v>
      </c>
      <c r="BH386">
        <v>9</v>
      </c>
      <c r="BI386">
        <f t="shared" si="19"/>
        <v>0.888888888888889</v>
      </c>
      <c r="BJ386">
        <f t="shared" si="20"/>
        <v>10.125</v>
      </c>
    </row>
    <row r="387" spans="1:62">
      <c r="A387" s="1">
        <v>568102066</v>
      </c>
      <c r="B387">
        <v>40</v>
      </c>
      <c r="C387" t="s">
        <v>175</v>
      </c>
      <c r="D387" t="s">
        <v>74</v>
      </c>
      <c r="E387" t="s">
        <v>61</v>
      </c>
      <c r="F387" t="s">
        <v>87</v>
      </c>
      <c r="G387" t="s">
        <v>60</v>
      </c>
      <c r="H387" t="s">
        <v>536</v>
      </c>
      <c r="I387" t="s">
        <v>95</v>
      </c>
      <c r="J387" s="2">
        <v>490.34</v>
      </c>
      <c r="K387">
        <v>4</v>
      </c>
      <c r="L387" t="s">
        <v>78</v>
      </c>
      <c r="M387">
        <v>5</v>
      </c>
      <c r="N387">
        <v>2</v>
      </c>
      <c r="O387">
        <v>2</v>
      </c>
      <c r="P387" t="s">
        <v>66</v>
      </c>
      <c r="Q387" t="s">
        <v>80</v>
      </c>
      <c r="R387">
        <v>2</v>
      </c>
      <c r="S387">
        <v>7</v>
      </c>
      <c r="T387" t="s">
        <v>74</v>
      </c>
      <c r="U387" t="s">
        <v>68</v>
      </c>
      <c r="V387" t="s">
        <v>96</v>
      </c>
      <c r="W387" s="3">
        <v>45399</v>
      </c>
      <c r="X387" t="b">
        <v>0</v>
      </c>
      <c r="Y387" t="b">
        <v>1</v>
      </c>
      <c r="Z387" t="s">
        <v>70</v>
      </c>
      <c r="AA387" t="s">
        <v>71</v>
      </c>
      <c r="AB387">
        <v>2</v>
      </c>
      <c r="AO387" t="str">
        <f t="shared" si="21"/>
        <v>26-40</v>
      </c>
      <c r="BD387">
        <v>4</v>
      </c>
      <c r="BF387" cm="1">
        <f t="array" ref="BF387">CORREL(J387:J1387,S387:S1387)</f>
        <v>-0.0354853538965888</v>
      </c>
      <c r="BH387">
        <v>7</v>
      </c>
      <c r="BI387">
        <f t="shared" ref="BI387:BI450" si="22">K387/S387</f>
        <v>0.571428571428571</v>
      </c>
      <c r="BJ387">
        <f t="shared" ref="BJ387:BJ450" si="23">BH387/BI387</f>
        <v>12.25</v>
      </c>
    </row>
    <row r="388" spans="1:62">
      <c r="A388" s="1">
        <v>555807707</v>
      </c>
      <c r="B388">
        <v>38</v>
      </c>
      <c r="C388" t="s">
        <v>73</v>
      </c>
      <c r="D388" t="s">
        <v>74</v>
      </c>
      <c r="E388" t="s">
        <v>103</v>
      </c>
      <c r="F388" t="s">
        <v>62</v>
      </c>
      <c r="G388" t="s">
        <v>60</v>
      </c>
      <c r="H388" t="s">
        <v>537</v>
      </c>
      <c r="I388" t="s">
        <v>209</v>
      </c>
      <c r="J388" s="2">
        <v>245.98</v>
      </c>
      <c r="K388">
        <v>4</v>
      </c>
      <c r="L388" t="s">
        <v>65</v>
      </c>
      <c r="M388">
        <v>5</v>
      </c>
      <c r="N388">
        <v>1</v>
      </c>
      <c r="O388">
        <v>1</v>
      </c>
      <c r="P388" t="s">
        <v>74</v>
      </c>
      <c r="Q388" t="s">
        <v>80</v>
      </c>
      <c r="R388">
        <v>0</v>
      </c>
      <c r="S388">
        <v>1</v>
      </c>
      <c r="T388" t="s">
        <v>79</v>
      </c>
      <c r="U388" t="s">
        <v>105</v>
      </c>
      <c r="V388" t="s">
        <v>81</v>
      </c>
      <c r="W388" s="3">
        <v>45625</v>
      </c>
      <c r="X388" t="b">
        <v>0</v>
      </c>
      <c r="Y388" t="b">
        <v>0</v>
      </c>
      <c r="Z388" t="s">
        <v>102</v>
      </c>
      <c r="AA388" t="s">
        <v>83</v>
      </c>
      <c r="AB388">
        <v>10</v>
      </c>
      <c r="AO388" t="str">
        <f t="shared" si="21"/>
        <v>26-40</v>
      </c>
      <c r="BD388">
        <v>4</v>
      </c>
      <c r="BF388" cm="1">
        <f t="array" ref="BF388">CORREL(J388:J1388,S388:S1388)</f>
        <v>-0.0369799437483299</v>
      </c>
      <c r="BH388">
        <v>1</v>
      </c>
      <c r="BI388">
        <f t="shared" si="22"/>
        <v>4</v>
      </c>
      <c r="BJ388">
        <f t="shared" si="23"/>
        <v>0.25</v>
      </c>
    </row>
    <row r="389" spans="1:62">
      <c r="A389" s="1">
        <v>186050795</v>
      </c>
      <c r="B389">
        <v>45</v>
      </c>
      <c r="C389" t="s">
        <v>188</v>
      </c>
      <c r="D389" t="s">
        <v>60</v>
      </c>
      <c r="E389" t="s">
        <v>98</v>
      </c>
      <c r="F389" t="s">
        <v>75</v>
      </c>
      <c r="G389" t="s">
        <v>74</v>
      </c>
      <c r="H389" t="s">
        <v>538</v>
      </c>
      <c r="I389" t="s">
        <v>124</v>
      </c>
      <c r="J389" s="2">
        <v>390.83</v>
      </c>
      <c r="K389">
        <v>9</v>
      </c>
      <c r="L389" t="s">
        <v>85</v>
      </c>
      <c r="M389">
        <v>5</v>
      </c>
      <c r="N389">
        <v>5</v>
      </c>
      <c r="O389">
        <v>0</v>
      </c>
      <c r="P389" t="s">
        <v>79</v>
      </c>
      <c r="Q389" t="s">
        <v>67</v>
      </c>
      <c r="R389">
        <v>0</v>
      </c>
      <c r="S389">
        <v>5</v>
      </c>
      <c r="T389" t="s">
        <v>74</v>
      </c>
      <c r="U389" t="s">
        <v>105</v>
      </c>
      <c r="V389" t="s">
        <v>110</v>
      </c>
      <c r="W389" s="3">
        <v>45593</v>
      </c>
      <c r="X389" t="b">
        <v>0</v>
      </c>
      <c r="Y389" t="b">
        <v>1</v>
      </c>
      <c r="Z389" t="s">
        <v>92</v>
      </c>
      <c r="AA389" t="s">
        <v>71</v>
      </c>
      <c r="AB389">
        <v>8</v>
      </c>
      <c r="AO389" t="str">
        <f t="shared" si="21"/>
        <v>41-60</v>
      </c>
      <c r="BD389">
        <v>9</v>
      </c>
      <c r="BF389" cm="1">
        <f t="array" ref="BF389">CORREL(J389:J1389,S389:S1389)</f>
        <v>-0.037699600121781</v>
      </c>
      <c r="BH389">
        <v>5</v>
      </c>
      <c r="BI389">
        <f t="shared" si="22"/>
        <v>1.8</v>
      </c>
      <c r="BJ389">
        <f t="shared" si="23"/>
        <v>2.77777777777778</v>
      </c>
    </row>
    <row r="390" spans="1:62">
      <c r="A390" s="1">
        <v>862682904</v>
      </c>
      <c r="B390">
        <v>49</v>
      </c>
      <c r="C390" t="s">
        <v>73</v>
      </c>
      <c r="D390" t="s">
        <v>74</v>
      </c>
      <c r="E390" t="s">
        <v>98</v>
      </c>
      <c r="F390" t="s">
        <v>75</v>
      </c>
      <c r="G390" t="s">
        <v>60</v>
      </c>
      <c r="H390" t="s">
        <v>539</v>
      </c>
      <c r="I390" t="s">
        <v>209</v>
      </c>
      <c r="J390" s="2">
        <v>158.84</v>
      </c>
      <c r="K390">
        <v>6</v>
      </c>
      <c r="L390" t="s">
        <v>85</v>
      </c>
      <c r="M390">
        <v>2</v>
      </c>
      <c r="N390">
        <v>1</v>
      </c>
      <c r="O390">
        <v>1</v>
      </c>
      <c r="P390" t="s">
        <v>66</v>
      </c>
      <c r="Q390" t="s">
        <v>80</v>
      </c>
      <c r="R390">
        <v>1</v>
      </c>
      <c r="S390">
        <v>8</v>
      </c>
      <c r="T390" t="s">
        <v>84</v>
      </c>
      <c r="U390" t="s">
        <v>105</v>
      </c>
      <c r="V390" t="s">
        <v>110</v>
      </c>
      <c r="W390" s="3">
        <v>45485</v>
      </c>
      <c r="X390" t="b">
        <v>1</v>
      </c>
      <c r="Y390" t="b">
        <v>1</v>
      </c>
      <c r="Z390" t="s">
        <v>70</v>
      </c>
      <c r="AA390" t="s">
        <v>97</v>
      </c>
      <c r="AB390">
        <v>5</v>
      </c>
      <c r="AO390" t="str">
        <f t="shared" si="21"/>
        <v>41-60</v>
      </c>
      <c r="BD390">
        <v>6</v>
      </c>
      <c r="BF390" cm="1">
        <f t="array" ref="BF390">CORREL(J390:J1390,S390:S1390)</f>
        <v>-0.0374934859529476</v>
      </c>
      <c r="BH390">
        <v>8</v>
      </c>
      <c r="BI390">
        <f t="shared" si="22"/>
        <v>0.75</v>
      </c>
      <c r="BJ390">
        <f t="shared" si="23"/>
        <v>10.6666666666667</v>
      </c>
    </row>
    <row r="391" spans="1:62">
      <c r="A391" s="1">
        <v>758477630</v>
      </c>
      <c r="B391">
        <v>37</v>
      </c>
      <c r="C391" t="s">
        <v>73</v>
      </c>
      <c r="D391" t="s">
        <v>60</v>
      </c>
      <c r="E391" t="s">
        <v>86</v>
      </c>
      <c r="F391" t="s">
        <v>75</v>
      </c>
      <c r="G391" t="s">
        <v>60</v>
      </c>
      <c r="H391" t="s">
        <v>540</v>
      </c>
      <c r="I391" t="s">
        <v>135</v>
      </c>
      <c r="J391" s="2">
        <v>439.24</v>
      </c>
      <c r="K391">
        <v>8</v>
      </c>
      <c r="L391" t="s">
        <v>65</v>
      </c>
      <c r="M391">
        <v>3</v>
      </c>
      <c r="N391">
        <v>3</v>
      </c>
      <c r="O391">
        <v>1</v>
      </c>
      <c r="P391" t="s">
        <v>74</v>
      </c>
      <c r="Q391" t="s">
        <v>67</v>
      </c>
      <c r="R391">
        <v>2</v>
      </c>
      <c r="S391">
        <v>9</v>
      </c>
      <c r="T391" t="s">
        <v>79</v>
      </c>
      <c r="U391" t="s">
        <v>68</v>
      </c>
      <c r="V391" t="s">
        <v>96</v>
      </c>
      <c r="W391" s="3">
        <v>45499</v>
      </c>
      <c r="X391" t="b">
        <v>0</v>
      </c>
      <c r="Y391" t="b">
        <v>0</v>
      </c>
      <c r="Z391" t="s">
        <v>82</v>
      </c>
      <c r="AA391" t="s">
        <v>83</v>
      </c>
      <c r="AB391">
        <v>10</v>
      </c>
      <c r="AO391" t="str">
        <f t="shared" si="21"/>
        <v>26-40</v>
      </c>
      <c r="BD391">
        <v>8</v>
      </c>
      <c r="BF391" cm="1">
        <f t="array" ref="BF391">CORREL(J391:J1391,S391:S1391)</f>
        <v>-0.0362149310023115</v>
      </c>
      <c r="BH391">
        <v>9</v>
      </c>
      <c r="BI391">
        <f t="shared" si="22"/>
        <v>0.888888888888889</v>
      </c>
      <c r="BJ391">
        <f t="shared" si="23"/>
        <v>10.125</v>
      </c>
    </row>
    <row r="392" spans="1:62">
      <c r="A392" s="1">
        <v>769102337</v>
      </c>
      <c r="B392">
        <v>23</v>
      </c>
      <c r="C392" t="s">
        <v>188</v>
      </c>
      <c r="D392" t="s">
        <v>60</v>
      </c>
      <c r="E392" t="s">
        <v>98</v>
      </c>
      <c r="F392" t="s">
        <v>87</v>
      </c>
      <c r="G392" t="s">
        <v>74</v>
      </c>
      <c r="H392" t="s">
        <v>541</v>
      </c>
      <c r="I392" t="s">
        <v>137</v>
      </c>
      <c r="J392" s="2">
        <v>92.43</v>
      </c>
      <c r="K392">
        <v>12</v>
      </c>
      <c r="L392" t="s">
        <v>65</v>
      </c>
      <c r="M392">
        <v>4</v>
      </c>
      <c r="N392">
        <v>1</v>
      </c>
      <c r="O392">
        <v>0</v>
      </c>
      <c r="P392" t="s">
        <v>79</v>
      </c>
      <c r="Q392" t="s">
        <v>67</v>
      </c>
      <c r="R392">
        <v>2</v>
      </c>
      <c r="S392">
        <v>9</v>
      </c>
      <c r="T392" t="s">
        <v>66</v>
      </c>
      <c r="U392" t="s">
        <v>90</v>
      </c>
      <c r="V392" t="s">
        <v>96</v>
      </c>
      <c r="W392" s="3">
        <v>45631</v>
      </c>
      <c r="X392" t="b">
        <v>0</v>
      </c>
      <c r="Y392" t="b">
        <v>1</v>
      </c>
      <c r="Z392" t="s">
        <v>70</v>
      </c>
      <c r="AA392" t="s">
        <v>83</v>
      </c>
      <c r="AB392">
        <v>6</v>
      </c>
      <c r="AO392" t="str">
        <f t="shared" si="21"/>
        <v>18-25</v>
      </c>
      <c r="BD392">
        <v>12</v>
      </c>
      <c r="BF392" cm="1">
        <f t="array" ref="BF392">CORREL(J392:J1392,S392:S1392)</f>
        <v>-0.0387892465171044</v>
      </c>
      <c r="BH392">
        <v>9</v>
      </c>
      <c r="BI392">
        <f t="shared" si="22"/>
        <v>1.33333333333333</v>
      </c>
      <c r="BJ392">
        <f t="shared" si="23"/>
        <v>6.75</v>
      </c>
    </row>
    <row r="393" spans="1:62">
      <c r="A393" s="1">
        <v>567197145</v>
      </c>
      <c r="B393">
        <v>48</v>
      </c>
      <c r="C393" t="s">
        <v>59</v>
      </c>
      <c r="D393" t="s">
        <v>74</v>
      </c>
      <c r="E393" t="s">
        <v>61</v>
      </c>
      <c r="F393" t="s">
        <v>87</v>
      </c>
      <c r="G393" t="s">
        <v>60</v>
      </c>
      <c r="H393" t="s">
        <v>542</v>
      </c>
      <c r="I393" t="s">
        <v>171</v>
      </c>
      <c r="J393" s="2">
        <v>333.15</v>
      </c>
      <c r="K393">
        <v>9</v>
      </c>
      <c r="L393" t="s">
        <v>65</v>
      </c>
      <c r="M393">
        <v>1</v>
      </c>
      <c r="N393">
        <v>5</v>
      </c>
      <c r="O393">
        <v>1</v>
      </c>
      <c r="P393" t="s">
        <v>74</v>
      </c>
      <c r="Q393" t="s">
        <v>109</v>
      </c>
      <c r="R393">
        <v>1</v>
      </c>
      <c r="S393">
        <v>8</v>
      </c>
      <c r="T393" t="s">
        <v>74</v>
      </c>
      <c r="U393" t="s">
        <v>90</v>
      </c>
      <c r="V393" t="s">
        <v>96</v>
      </c>
      <c r="W393" s="3">
        <v>45516</v>
      </c>
      <c r="X393" t="b">
        <v>0</v>
      </c>
      <c r="Y393" t="b">
        <v>0</v>
      </c>
      <c r="Z393" t="s">
        <v>92</v>
      </c>
      <c r="AA393" t="s">
        <v>83</v>
      </c>
      <c r="AB393">
        <v>14</v>
      </c>
      <c r="AO393" t="str">
        <f t="shared" si="21"/>
        <v>41-60</v>
      </c>
      <c r="BD393">
        <v>9</v>
      </c>
      <c r="BF393" cm="1">
        <f t="array" ref="BF393">CORREL(J393:J1393,S393:S1393)</f>
        <v>-0.0360007045147027</v>
      </c>
      <c r="BH393">
        <v>8</v>
      </c>
      <c r="BI393">
        <f t="shared" si="22"/>
        <v>1.125</v>
      </c>
      <c r="BJ393">
        <f t="shared" si="23"/>
        <v>7.11111111111111</v>
      </c>
    </row>
    <row r="394" spans="1:62">
      <c r="A394" s="1">
        <v>140252335</v>
      </c>
      <c r="B394">
        <v>19</v>
      </c>
      <c r="C394" t="s">
        <v>73</v>
      </c>
      <c r="D394" t="s">
        <v>60</v>
      </c>
      <c r="E394" t="s">
        <v>103</v>
      </c>
      <c r="F394" t="s">
        <v>87</v>
      </c>
      <c r="G394" t="s">
        <v>60</v>
      </c>
      <c r="H394" t="s">
        <v>543</v>
      </c>
      <c r="I394" t="s">
        <v>118</v>
      </c>
      <c r="J394" s="2">
        <v>64.22</v>
      </c>
      <c r="K394">
        <v>9</v>
      </c>
      <c r="L394" t="s">
        <v>85</v>
      </c>
      <c r="M394">
        <v>1</v>
      </c>
      <c r="N394">
        <v>1</v>
      </c>
      <c r="O394">
        <v>2</v>
      </c>
      <c r="P394" t="s">
        <v>74</v>
      </c>
      <c r="Q394" t="s">
        <v>67</v>
      </c>
      <c r="R394">
        <v>1</v>
      </c>
      <c r="S394">
        <v>9</v>
      </c>
      <c r="T394" t="s">
        <v>79</v>
      </c>
      <c r="U394" t="s">
        <v>90</v>
      </c>
      <c r="V394" t="s">
        <v>81</v>
      </c>
      <c r="W394" s="3">
        <v>45293</v>
      </c>
      <c r="X394" t="b">
        <v>1</v>
      </c>
      <c r="Y394" t="b">
        <v>0</v>
      </c>
      <c r="Z394" t="s">
        <v>92</v>
      </c>
      <c r="AA394" t="s">
        <v>71</v>
      </c>
      <c r="AB394">
        <v>10</v>
      </c>
      <c r="AO394" t="str">
        <f t="shared" si="21"/>
        <v>18-25</v>
      </c>
      <c r="BD394">
        <v>9</v>
      </c>
      <c r="BF394" cm="1">
        <f t="array" ref="BF394">CORREL(J394:J1394,S394:S1394)</f>
        <v>-0.0366364320097744</v>
      </c>
      <c r="BH394">
        <v>9</v>
      </c>
      <c r="BI394">
        <f t="shared" si="22"/>
        <v>1</v>
      </c>
      <c r="BJ394">
        <f t="shared" si="23"/>
        <v>9</v>
      </c>
    </row>
    <row r="395" spans="1:62">
      <c r="A395" s="1">
        <v>103008072</v>
      </c>
      <c r="B395">
        <v>46</v>
      </c>
      <c r="C395" t="s">
        <v>59</v>
      </c>
      <c r="D395" t="s">
        <v>74</v>
      </c>
      <c r="E395" t="s">
        <v>86</v>
      </c>
      <c r="F395" t="s">
        <v>75</v>
      </c>
      <c r="G395" t="s">
        <v>74</v>
      </c>
      <c r="H395" t="s">
        <v>544</v>
      </c>
      <c r="I395" t="s">
        <v>95</v>
      </c>
      <c r="J395" s="2">
        <v>290.53</v>
      </c>
      <c r="K395">
        <v>3</v>
      </c>
      <c r="L395" t="s">
        <v>85</v>
      </c>
      <c r="M395">
        <v>3</v>
      </c>
      <c r="N395">
        <v>2</v>
      </c>
      <c r="O395">
        <v>1</v>
      </c>
      <c r="P395" t="s">
        <v>84</v>
      </c>
      <c r="Q395" t="s">
        <v>109</v>
      </c>
      <c r="R395">
        <v>0</v>
      </c>
      <c r="S395">
        <v>6</v>
      </c>
      <c r="T395" t="s">
        <v>74</v>
      </c>
      <c r="U395" t="s">
        <v>105</v>
      </c>
      <c r="V395" t="s">
        <v>91</v>
      </c>
      <c r="W395" s="3">
        <v>45600</v>
      </c>
      <c r="X395" t="b">
        <v>1</v>
      </c>
      <c r="Y395" t="b">
        <v>0</v>
      </c>
      <c r="Z395" t="s">
        <v>102</v>
      </c>
      <c r="AA395" t="s">
        <v>71</v>
      </c>
      <c r="AB395">
        <v>10</v>
      </c>
      <c r="AO395" t="str">
        <f t="shared" si="21"/>
        <v>41-60</v>
      </c>
      <c r="BD395">
        <v>3</v>
      </c>
      <c r="BF395" cm="1">
        <f t="array" ref="BF395">CORREL(J395:J1395,S395:S1395)</f>
        <v>-0.0333952845907445</v>
      </c>
      <c r="BH395">
        <v>6</v>
      </c>
      <c r="BI395">
        <f t="shared" si="22"/>
        <v>0.5</v>
      </c>
      <c r="BJ395">
        <f t="shared" si="23"/>
        <v>12</v>
      </c>
    </row>
    <row r="396" spans="1:62">
      <c r="A396" s="1">
        <v>736982326</v>
      </c>
      <c r="B396">
        <v>39</v>
      </c>
      <c r="C396" t="s">
        <v>73</v>
      </c>
      <c r="D396" t="s">
        <v>60</v>
      </c>
      <c r="E396" t="s">
        <v>103</v>
      </c>
      <c r="F396" t="s">
        <v>62</v>
      </c>
      <c r="G396" t="s">
        <v>74</v>
      </c>
      <c r="H396" t="s">
        <v>545</v>
      </c>
      <c r="I396" t="s">
        <v>135</v>
      </c>
      <c r="J396" s="2">
        <v>251.8</v>
      </c>
      <c r="K396">
        <v>6</v>
      </c>
      <c r="L396" t="s">
        <v>65</v>
      </c>
      <c r="M396">
        <v>5</v>
      </c>
      <c r="N396">
        <v>1</v>
      </c>
      <c r="O396">
        <v>2</v>
      </c>
      <c r="P396" t="s">
        <v>74</v>
      </c>
      <c r="Q396" t="s">
        <v>109</v>
      </c>
      <c r="R396">
        <v>1</v>
      </c>
      <c r="S396">
        <v>8</v>
      </c>
      <c r="T396" t="s">
        <v>84</v>
      </c>
      <c r="U396" t="s">
        <v>90</v>
      </c>
      <c r="V396" t="s">
        <v>91</v>
      </c>
      <c r="W396" s="3">
        <v>45478</v>
      </c>
      <c r="X396" t="b">
        <v>1</v>
      </c>
      <c r="Y396" t="b">
        <v>1</v>
      </c>
      <c r="Z396" t="s">
        <v>92</v>
      </c>
      <c r="AA396" t="s">
        <v>71</v>
      </c>
      <c r="AB396">
        <v>11</v>
      </c>
      <c r="AO396" t="str">
        <f t="shared" si="21"/>
        <v>26-40</v>
      </c>
      <c r="BD396">
        <v>6</v>
      </c>
      <c r="BF396" cm="1">
        <f t="array" ref="BF396">CORREL(J396:J1396,S396:S1396)</f>
        <v>-0.0334241531630403</v>
      </c>
      <c r="BH396">
        <v>8</v>
      </c>
      <c r="BI396">
        <f t="shared" si="22"/>
        <v>0.75</v>
      </c>
      <c r="BJ396">
        <f t="shared" si="23"/>
        <v>10.6666666666667</v>
      </c>
    </row>
    <row r="397" spans="1:62">
      <c r="A397" s="4" t="s">
        <v>546</v>
      </c>
      <c r="B397">
        <v>27</v>
      </c>
      <c r="C397" t="s">
        <v>188</v>
      </c>
      <c r="D397" t="s">
        <v>60</v>
      </c>
      <c r="E397" t="s">
        <v>103</v>
      </c>
      <c r="F397" t="s">
        <v>87</v>
      </c>
      <c r="G397" t="s">
        <v>60</v>
      </c>
      <c r="H397" t="s">
        <v>547</v>
      </c>
      <c r="I397" t="s">
        <v>113</v>
      </c>
      <c r="J397" s="2">
        <v>480.52</v>
      </c>
      <c r="K397">
        <v>3</v>
      </c>
      <c r="L397" t="s">
        <v>85</v>
      </c>
      <c r="M397">
        <v>5</v>
      </c>
      <c r="N397">
        <v>4</v>
      </c>
      <c r="O397">
        <v>2</v>
      </c>
      <c r="P397" t="s">
        <v>84</v>
      </c>
      <c r="Q397" t="s">
        <v>67</v>
      </c>
      <c r="R397">
        <v>1</v>
      </c>
      <c r="S397">
        <v>5</v>
      </c>
      <c r="T397" t="s">
        <v>66</v>
      </c>
      <c r="U397" t="s">
        <v>90</v>
      </c>
      <c r="V397" t="s">
        <v>110</v>
      </c>
      <c r="W397" s="3">
        <v>45412</v>
      </c>
      <c r="X397" t="b">
        <v>0</v>
      </c>
      <c r="Y397" t="b">
        <v>0</v>
      </c>
      <c r="Z397" t="s">
        <v>102</v>
      </c>
      <c r="AA397" t="s">
        <v>71</v>
      </c>
      <c r="AB397">
        <v>13</v>
      </c>
      <c r="AO397" t="str">
        <f t="shared" si="21"/>
        <v>26-40</v>
      </c>
      <c r="BD397">
        <v>3</v>
      </c>
      <c r="BF397" cm="1">
        <f t="array" ref="BF397">CORREL(J397:J1397,S397:S1397)</f>
        <v>-0.0331372908410212</v>
      </c>
      <c r="BH397">
        <v>5</v>
      </c>
      <c r="BI397">
        <f t="shared" si="22"/>
        <v>0.6</v>
      </c>
      <c r="BJ397">
        <f t="shared" si="23"/>
        <v>8.33333333333333</v>
      </c>
    </row>
    <row r="398" spans="1:62">
      <c r="A398" s="1">
        <v>653594645</v>
      </c>
      <c r="B398">
        <v>28</v>
      </c>
      <c r="C398" t="s">
        <v>59</v>
      </c>
      <c r="D398" t="s">
        <v>60</v>
      </c>
      <c r="E398" t="s">
        <v>61</v>
      </c>
      <c r="F398" t="s">
        <v>75</v>
      </c>
      <c r="G398" t="s">
        <v>74</v>
      </c>
      <c r="H398" t="s">
        <v>548</v>
      </c>
      <c r="I398" t="s">
        <v>129</v>
      </c>
      <c r="J398" s="2">
        <v>461.71</v>
      </c>
      <c r="K398">
        <v>10</v>
      </c>
      <c r="L398" t="s">
        <v>65</v>
      </c>
      <c r="M398">
        <v>3</v>
      </c>
      <c r="N398">
        <v>1</v>
      </c>
      <c r="O398">
        <v>0</v>
      </c>
      <c r="P398" t="s">
        <v>84</v>
      </c>
      <c r="Q398" t="s">
        <v>80</v>
      </c>
      <c r="R398">
        <v>0</v>
      </c>
      <c r="S398">
        <v>9</v>
      </c>
      <c r="T398" t="s">
        <v>74</v>
      </c>
      <c r="U398" t="s">
        <v>90</v>
      </c>
      <c r="V398" t="s">
        <v>110</v>
      </c>
      <c r="W398" s="3">
        <v>45338</v>
      </c>
      <c r="X398" t="b">
        <v>0</v>
      </c>
      <c r="Y398" t="b">
        <v>0</v>
      </c>
      <c r="Z398" t="s">
        <v>102</v>
      </c>
      <c r="AA398" t="s">
        <v>83</v>
      </c>
      <c r="AB398">
        <v>11</v>
      </c>
      <c r="AO398" t="str">
        <f t="shared" si="21"/>
        <v>26-40</v>
      </c>
      <c r="BD398">
        <v>10</v>
      </c>
      <c r="BF398" cm="1">
        <f t="array" ref="BF398">CORREL(J398:J1398,S398:S1398)</f>
        <v>-0.0328105709198177</v>
      </c>
      <c r="BH398">
        <v>9</v>
      </c>
      <c r="BI398">
        <f t="shared" si="22"/>
        <v>1.11111111111111</v>
      </c>
      <c r="BJ398">
        <f t="shared" si="23"/>
        <v>8.1</v>
      </c>
    </row>
    <row r="399" spans="1:62">
      <c r="A399" s="1">
        <v>334057978</v>
      </c>
      <c r="B399">
        <v>50</v>
      </c>
      <c r="C399" t="s">
        <v>59</v>
      </c>
      <c r="D399" t="s">
        <v>74</v>
      </c>
      <c r="E399" t="s">
        <v>61</v>
      </c>
      <c r="F399" t="s">
        <v>75</v>
      </c>
      <c r="G399" t="s">
        <v>60</v>
      </c>
      <c r="H399" t="s">
        <v>549</v>
      </c>
      <c r="I399" t="s">
        <v>133</v>
      </c>
      <c r="J399" s="2">
        <v>288.34</v>
      </c>
      <c r="K399">
        <v>12</v>
      </c>
      <c r="L399" t="s">
        <v>65</v>
      </c>
      <c r="M399">
        <v>5</v>
      </c>
      <c r="N399">
        <v>2</v>
      </c>
      <c r="O399">
        <v>2</v>
      </c>
      <c r="P399" t="s">
        <v>66</v>
      </c>
      <c r="Q399" t="s">
        <v>109</v>
      </c>
      <c r="R399">
        <v>0</v>
      </c>
      <c r="S399">
        <v>8</v>
      </c>
      <c r="T399" t="s">
        <v>84</v>
      </c>
      <c r="U399" t="s">
        <v>68</v>
      </c>
      <c r="V399" t="s">
        <v>110</v>
      </c>
      <c r="W399" s="3">
        <v>45371</v>
      </c>
      <c r="X399" t="b">
        <v>0</v>
      </c>
      <c r="Y399" t="b">
        <v>0</v>
      </c>
      <c r="Z399" t="s">
        <v>70</v>
      </c>
      <c r="AA399" t="s">
        <v>97</v>
      </c>
      <c r="AB399">
        <v>6</v>
      </c>
      <c r="AO399" t="str">
        <f t="shared" si="21"/>
        <v>41-60</v>
      </c>
      <c r="BD399">
        <v>12</v>
      </c>
      <c r="BF399" cm="1">
        <f t="array" ref="BF399">CORREL(J399:J1399,S399:S1399)</f>
        <v>-0.035795936977767</v>
      </c>
      <c r="BH399">
        <v>8</v>
      </c>
      <c r="BI399">
        <f t="shared" si="22"/>
        <v>1.5</v>
      </c>
      <c r="BJ399">
        <f t="shared" si="23"/>
        <v>5.33333333333333</v>
      </c>
    </row>
    <row r="400" spans="1:62">
      <c r="A400" s="4" t="s">
        <v>550</v>
      </c>
      <c r="B400">
        <v>19</v>
      </c>
      <c r="C400" t="s">
        <v>59</v>
      </c>
      <c r="D400" t="s">
        <v>74</v>
      </c>
      <c r="E400" t="s">
        <v>103</v>
      </c>
      <c r="F400" t="s">
        <v>62</v>
      </c>
      <c r="G400" t="s">
        <v>74</v>
      </c>
      <c r="H400" t="s">
        <v>551</v>
      </c>
      <c r="I400" t="s">
        <v>64</v>
      </c>
      <c r="J400" s="2">
        <v>194.08</v>
      </c>
      <c r="K400">
        <v>3</v>
      </c>
      <c r="L400" t="s">
        <v>78</v>
      </c>
      <c r="M400">
        <v>5</v>
      </c>
      <c r="N400">
        <v>5</v>
      </c>
      <c r="O400">
        <v>1</v>
      </c>
      <c r="P400" t="s">
        <v>84</v>
      </c>
      <c r="Q400" t="s">
        <v>80</v>
      </c>
      <c r="R400">
        <v>0</v>
      </c>
      <c r="S400">
        <v>2</v>
      </c>
      <c r="T400" t="s">
        <v>66</v>
      </c>
      <c r="U400" t="s">
        <v>90</v>
      </c>
      <c r="V400" t="s">
        <v>81</v>
      </c>
      <c r="W400" s="3">
        <v>45592</v>
      </c>
      <c r="X400" t="b">
        <v>1</v>
      </c>
      <c r="Y400" t="b">
        <v>1</v>
      </c>
      <c r="Z400" t="s">
        <v>82</v>
      </c>
      <c r="AA400" t="s">
        <v>83</v>
      </c>
      <c r="AB400">
        <v>13</v>
      </c>
      <c r="AO400" t="str">
        <f t="shared" si="21"/>
        <v>18-25</v>
      </c>
      <c r="BD400">
        <v>3</v>
      </c>
      <c r="BF400" cm="1">
        <f t="array" ref="BF400">CORREL(J400:J1400,S400:S1400)</f>
        <v>-0.035930788701311</v>
      </c>
      <c r="BH400">
        <v>2</v>
      </c>
      <c r="BI400">
        <f t="shared" si="22"/>
        <v>1.5</v>
      </c>
      <c r="BJ400">
        <f t="shared" si="23"/>
        <v>1.33333333333333</v>
      </c>
    </row>
    <row r="401" spans="1:62">
      <c r="A401" s="1">
        <v>765612427</v>
      </c>
      <c r="B401">
        <v>27</v>
      </c>
      <c r="C401" t="s">
        <v>224</v>
      </c>
      <c r="D401" t="s">
        <v>60</v>
      </c>
      <c r="E401" t="s">
        <v>98</v>
      </c>
      <c r="F401" t="s">
        <v>75</v>
      </c>
      <c r="G401" t="s">
        <v>74</v>
      </c>
      <c r="H401" t="s">
        <v>552</v>
      </c>
      <c r="I401" t="s">
        <v>178</v>
      </c>
      <c r="J401" s="2">
        <v>198.45</v>
      </c>
      <c r="K401">
        <v>11</v>
      </c>
      <c r="L401" t="s">
        <v>85</v>
      </c>
      <c r="M401">
        <v>3</v>
      </c>
      <c r="N401">
        <v>5</v>
      </c>
      <c r="O401">
        <v>1</v>
      </c>
      <c r="P401" t="s">
        <v>74</v>
      </c>
      <c r="Q401" t="s">
        <v>80</v>
      </c>
      <c r="R401">
        <v>2</v>
      </c>
      <c r="S401">
        <v>8</v>
      </c>
      <c r="T401" t="s">
        <v>74</v>
      </c>
      <c r="U401" t="s">
        <v>68</v>
      </c>
      <c r="V401" t="s">
        <v>81</v>
      </c>
      <c r="W401" s="3">
        <v>45416</v>
      </c>
      <c r="X401" t="b">
        <v>1</v>
      </c>
      <c r="Y401" t="b">
        <v>0</v>
      </c>
      <c r="Z401" t="s">
        <v>82</v>
      </c>
      <c r="AA401" t="s">
        <v>71</v>
      </c>
      <c r="AB401">
        <v>5</v>
      </c>
      <c r="AO401" t="str">
        <f t="shared" si="21"/>
        <v>26-40</v>
      </c>
      <c r="BD401">
        <v>11</v>
      </c>
      <c r="BF401" cm="1">
        <f t="array" ref="BF401">CORREL(J401:J1401,S401:S1401)</f>
        <v>-0.0372787846220978</v>
      </c>
      <c r="BH401">
        <v>8</v>
      </c>
      <c r="BI401">
        <f t="shared" si="22"/>
        <v>1.375</v>
      </c>
      <c r="BJ401">
        <f t="shared" si="23"/>
        <v>5.81818181818182</v>
      </c>
    </row>
    <row r="402" spans="1:62">
      <c r="A402" s="1">
        <v>824673300</v>
      </c>
      <c r="B402">
        <v>23</v>
      </c>
      <c r="C402" t="s">
        <v>73</v>
      </c>
      <c r="D402" t="s">
        <v>74</v>
      </c>
      <c r="E402" t="s">
        <v>61</v>
      </c>
      <c r="F402" t="s">
        <v>87</v>
      </c>
      <c r="G402" t="s">
        <v>60</v>
      </c>
      <c r="H402" t="s">
        <v>553</v>
      </c>
      <c r="I402" t="s">
        <v>135</v>
      </c>
      <c r="J402" s="2">
        <v>216.45</v>
      </c>
      <c r="K402">
        <v>5</v>
      </c>
      <c r="L402" t="s">
        <v>65</v>
      </c>
      <c r="M402">
        <v>5</v>
      </c>
      <c r="N402">
        <v>2</v>
      </c>
      <c r="O402">
        <v>0</v>
      </c>
      <c r="P402" t="s">
        <v>79</v>
      </c>
      <c r="Q402" t="s">
        <v>109</v>
      </c>
      <c r="R402">
        <v>2</v>
      </c>
      <c r="S402">
        <v>7</v>
      </c>
      <c r="T402" t="s">
        <v>84</v>
      </c>
      <c r="U402" t="s">
        <v>68</v>
      </c>
      <c r="V402" t="s">
        <v>69</v>
      </c>
      <c r="W402" s="3">
        <v>45596</v>
      </c>
      <c r="X402" t="b">
        <v>0</v>
      </c>
      <c r="Y402" t="b">
        <v>0</v>
      </c>
      <c r="Z402" t="s">
        <v>70</v>
      </c>
      <c r="AA402" t="s">
        <v>71</v>
      </c>
      <c r="AB402">
        <v>3</v>
      </c>
      <c r="AO402" t="str">
        <f t="shared" si="21"/>
        <v>18-25</v>
      </c>
      <c r="BD402">
        <v>5</v>
      </c>
      <c r="BF402" cm="1">
        <f t="array" ref="BF402">CORREL(J402:J1402,S402:S1402)</f>
        <v>-0.0363969062896648</v>
      </c>
      <c r="BH402">
        <v>7</v>
      </c>
      <c r="BI402">
        <f t="shared" si="22"/>
        <v>0.714285714285714</v>
      </c>
      <c r="BJ402">
        <f t="shared" si="23"/>
        <v>9.8</v>
      </c>
    </row>
    <row r="403" spans="1:62">
      <c r="A403" s="1">
        <v>929467398</v>
      </c>
      <c r="B403">
        <v>19</v>
      </c>
      <c r="C403" t="s">
        <v>59</v>
      </c>
      <c r="D403" t="s">
        <v>74</v>
      </c>
      <c r="E403" t="s">
        <v>98</v>
      </c>
      <c r="F403" t="s">
        <v>62</v>
      </c>
      <c r="G403" t="s">
        <v>74</v>
      </c>
      <c r="H403" t="s">
        <v>554</v>
      </c>
      <c r="I403" t="s">
        <v>135</v>
      </c>
      <c r="J403" s="2">
        <v>358.72</v>
      </c>
      <c r="K403">
        <v>5</v>
      </c>
      <c r="L403" t="s">
        <v>78</v>
      </c>
      <c r="M403">
        <v>3</v>
      </c>
      <c r="N403">
        <v>5</v>
      </c>
      <c r="O403">
        <v>1</v>
      </c>
      <c r="P403" t="s">
        <v>84</v>
      </c>
      <c r="Q403" t="s">
        <v>109</v>
      </c>
      <c r="R403">
        <v>0</v>
      </c>
      <c r="S403">
        <v>8</v>
      </c>
      <c r="T403" t="s">
        <v>84</v>
      </c>
      <c r="U403" t="s">
        <v>68</v>
      </c>
      <c r="V403" t="s">
        <v>69</v>
      </c>
      <c r="W403" s="3">
        <v>45328</v>
      </c>
      <c r="X403" t="b">
        <v>1</v>
      </c>
      <c r="Y403" t="b">
        <v>1</v>
      </c>
      <c r="Z403" t="s">
        <v>92</v>
      </c>
      <c r="AA403" t="s">
        <v>83</v>
      </c>
      <c r="AB403">
        <v>12</v>
      </c>
      <c r="AO403" t="str">
        <f t="shared" si="21"/>
        <v>18-25</v>
      </c>
      <c r="BD403">
        <v>5</v>
      </c>
      <c r="BF403" cm="1">
        <f t="array" ref="BF403">CORREL(J403:J1403,S403:S1403)</f>
        <v>-0.0359754848321842</v>
      </c>
      <c r="BH403">
        <v>8</v>
      </c>
      <c r="BI403">
        <f t="shared" si="22"/>
        <v>0.625</v>
      </c>
      <c r="BJ403">
        <f t="shared" si="23"/>
        <v>12.8</v>
      </c>
    </row>
    <row r="404" spans="1:62">
      <c r="A404" s="1">
        <v>598912990</v>
      </c>
      <c r="B404">
        <v>22</v>
      </c>
      <c r="C404" t="s">
        <v>59</v>
      </c>
      <c r="D404" t="s">
        <v>60</v>
      </c>
      <c r="E404" t="s">
        <v>98</v>
      </c>
      <c r="F404" t="s">
        <v>62</v>
      </c>
      <c r="G404" t="s">
        <v>74</v>
      </c>
      <c r="H404" t="s">
        <v>555</v>
      </c>
      <c r="I404" t="s">
        <v>118</v>
      </c>
      <c r="J404" s="2">
        <v>367.56</v>
      </c>
      <c r="K404">
        <v>9</v>
      </c>
      <c r="L404" t="s">
        <v>85</v>
      </c>
      <c r="M404">
        <v>4</v>
      </c>
      <c r="N404">
        <v>5</v>
      </c>
      <c r="O404">
        <v>1</v>
      </c>
      <c r="P404" t="s">
        <v>66</v>
      </c>
      <c r="Q404" t="s">
        <v>80</v>
      </c>
      <c r="R404">
        <v>0</v>
      </c>
      <c r="S404">
        <v>8</v>
      </c>
      <c r="T404" t="s">
        <v>84</v>
      </c>
      <c r="U404" t="s">
        <v>90</v>
      </c>
      <c r="V404" t="s">
        <v>96</v>
      </c>
      <c r="W404" s="3">
        <v>45491</v>
      </c>
      <c r="X404" t="b">
        <v>0</v>
      </c>
      <c r="Y404" t="b">
        <v>0</v>
      </c>
      <c r="Z404" t="s">
        <v>70</v>
      </c>
      <c r="AA404" t="s">
        <v>83</v>
      </c>
      <c r="AB404">
        <v>14</v>
      </c>
      <c r="AO404" t="str">
        <f t="shared" si="21"/>
        <v>18-25</v>
      </c>
      <c r="BD404">
        <v>9</v>
      </c>
      <c r="BF404" cm="1">
        <f t="array" ref="BF404">CORREL(J404:J1404,S404:S1404)</f>
        <v>-0.0369259206923485</v>
      </c>
      <c r="BH404">
        <v>8</v>
      </c>
      <c r="BI404">
        <f t="shared" si="22"/>
        <v>1.125</v>
      </c>
      <c r="BJ404">
        <f t="shared" si="23"/>
        <v>7.11111111111111</v>
      </c>
    </row>
    <row r="405" spans="1:62">
      <c r="A405" s="1">
        <v>225793978</v>
      </c>
      <c r="B405">
        <v>40</v>
      </c>
      <c r="C405" t="s">
        <v>73</v>
      </c>
      <c r="D405" t="s">
        <v>60</v>
      </c>
      <c r="E405" t="s">
        <v>103</v>
      </c>
      <c r="F405" t="s">
        <v>75</v>
      </c>
      <c r="G405" t="s">
        <v>74</v>
      </c>
      <c r="H405" t="s">
        <v>556</v>
      </c>
      <c r="I405" t="s">
        <v>171</v>
      </c>
      <c r="J405" s="2">
        <v>88.78</v>
      </c>
      <c r="K405">
        <v>10</v>
      </c>
      <c r="L405" t="s">
        <v>85</v>
      </c>
      <c r="M405">
        <v>5</v>
      </c>
      <c r="N405">
        <v>3</v>
      </c>
      <c r="O405">
        <v>0</v>
      </c>
      <c r="P405" t="s">
        <v>74</v>
      </c>
      <c r="Q405" t="s">
        <v>109</v>
      </c>
      <c r="R405">
        <v>1</v>
      </c>
      <c r="S405">
        <v>7</v>
      </c>
      <c r="T405" t="s">
        <v>79</v>
      </c>
      <c r="U405" t="s">
        <v>105</v>
      </c>
      <c r="V405" t="s">
        <v>81</v>
      </c>
      <c r="W405" s="3">
        <v>45297</v>
      </c>
      <c r="X405" t="b">
        <v>0</v>
      </c>
      <c r="Y405" t="b">
        <v>0</v>
      </c>
      <c r="Z405" t="s">
        <v>102</v>
      </c>
      <c r="AA405" t="s">
        <v>83</v>
      </c>
      <c r="AB405">
        <v>13</v>
      </c>
      <c r="AO405" t="str">
        <f t="shared" si="21"/>
        <v>26-40</v>
      </c>
      <c r="BD405">
        <v>10</v>
      </c>
      <c r="BF405" cm="1">
        <f t="array" ref="BF405">CORREL(J405:J1405,S405:S1405)</f>
        <v>-0.0379858951510298</v>
      </c>
      <c r="BH405">
        <v>7</v>
      </c>
      <c r="BI405">
        <f t="shared" si="22"/>
        <v>1.42857142857143</v>
      </c>
      <c r="BJ405">
        <f t="shared" si="23"/>
        <v>4.9</v>
      </c>
    </row>
    <row r="406" spans="1:62">
      <c r="A406" s="1">
        <v>223520576</v>
      </c>
      <c r="B406">
        <v>48</v>
      </c>
      <c r="C406" t="s">
        <v>73</v>
      </c>
      <c r="D406" t="s">
        <v>60</v>
      </c>
      <c r="E406" t="s">
        <v>61</v>
      </c>
      <c r="F406" t="s">
        <v>62</v>
      </c>
      <c r="G406" t="s">
        <v>60</v>
      </c>
      <c r="H406" t="s">
        <v>557</v>
      </c>
      <c r="I406" t="s">
        <v>77</v>
      </c>
      <c r="J406" s="2">
        <v>465.85</v>
      </c>
      <c r="K406">
        <v>10</v>
      </c>
      <c r="L406" t="s">
        <v>85</v>
      </c>
      <c r="M406">
        <v>5</v>
      </c>
      <c r="N406">
        <v>3</v>
      </c>
      <c r="O406">
        <v>2</v>
      </c>
      <c r="P406" t="s">
        <v>66</v>
      </c>
      <c r="Q406" t="s">
        <v>67</v>
      </c>
      <c r="R406">
        <v>2</v>
      </c>
      <c r="S406">
        <v>10</v>
      </c>
      <c r="T406" t="s">
        <v>79</v>
      </c>
      <c r="U406" t="s">
        <v>105</v>
      </c>
      <c r="V406" t="s">
        <v>81</v>
      </c>
      <c r="W406" s="3">
        <v>45386</v>
      </c>
      <c r="X406" t="b">
        <v>1</v>
      </c>
      <c r="Y406" t="b">
        <v>0</v>
      </c>
      <c r="Z406" t="s">
        <v>82</v>
      </c>
      <c r="AA406" t="s">
        <v>83</v>
      </c>
      <c r="AB406">
        <v>7</v>
      </c>
      <c r="AO406" t="str">
        <f t="shared" si="21"/>
        <v>41-60</v>
      </c>
      <c r="BD406">
        <v>10</v>
      </c>
      <c r="BF406" cm="1">
        <f t="array" ref="BF406">CORREL(J406:J1406,S406:S1406)</f>
        <v>-0.0367159236592614</v>
      </c>
      <c r="BH406">
        <v>10</v>
      </c>
      <c r="BI406">
        <f t="shared" si="22"/>
        <v>1</v>
      </c>
      <c r="BJ406">
        <f t="shared" si="23"/>
        <v>10</v>
      </c>
    </row>
    <row r="407" spans="1:62">
      <c r="A407" s="1">
        <v>286760614</v>
      </c>
      <c r="B407">
        <v>49</v>
      </c>
      <c r="C407" t="s">
        <v>73</v>
      </c>
      <c r="D407" t="s">
        <v>60</v>
      </c>
      <c r="E407" t="s">
        <v>61</v>
      </c>
      <c r="F407" t="s">
        <v>75</v>
      </c>
      <c r="G407" t="s">
        <v>74</v>
      </c>
      <c r="H407" t="s">
        <v>558</v>
      </c>
      <c r="I407" t="s">
        <v>171</v>
      </c>
      <c r="J407" s="2">
        <v>262.61</v>
      </c>
      <c r="K407">
        <v>3</v>
      </c>
      <c r="L407" t="s">
        <v>78</v>
      </c>
      <c r="M407">
        <v>2</v>
      </c>
      <c r="N407">
        <v>5</v>
      </c>
      <c r="O407">
        <v>1</v>
      </c>
      <c r="P407" t="s">
        <v>79</v>
      </c>
      <c r="Q407" t="s">
        <v>67</v>
      </c>
      <c r="R407">
        <v>0</v>
      </c>
      <c r="S407">
        <v>10</v>
      </c>
      <c r="T407" t="s">
        <v>79</v>
      </c>
      <c r="U407" t="s">
        <v>90</v>
      </c>
      <c r="V407" t="s">
        <v>96</v>
      </c>
      <c r="W407" s="3">
        <v>45350</v>
      </c>
      <c r="X407" t="b">
        <v>0</v>
      </c>
      <c r="Y407" t="b">
        <v>1</v>
      </c>
      <c r="Z407" t="s">
        <v>82</v>
      </c>
      <c r="AA407" t="s">
        <v>83</v>
      </c>
      <c r="AB407">
        <v>6</v>
      </c>
      <c r="AO407" t="str">
        <f t="shared" si="21"/>
        <v>41-60</v>
      </c>
      <c r="BD407">
        <v>3</v>
      </c>
      <c r="BF407" cm="1">
        <f t="array" ref="BF407">CORREL(J407:J1407,S407:S1407)</f>
        <v>-0.0407057419266713</v>
      </c>
      <c r="BH407">
        <v>10</v>
      </c>
      <c r="BI407">
        <f t="shared" si="22"/>
        <v>0.3</v>
      </c>
      <c r="BJ407">
        <f t="shared" si="23"/>
        <v>33.3333333333333</v>
      </c>
    </row>
    <row r="408" spans="1:62">
      <c r="A408" s="4" t="s">
        <v>559</v>
      </c>
      <c r="B408">
        <v>45</v>
      </c>
      <c r="C408" t="s">
        <v>224</v>
      </c>
      <c r="D408" t="s">
        <v>60</v>
      </c>
      <c r="E408" t="s">
        <v>98</v>
      </c>
      <c r="F408" t="s">
        <v>87</v>
      </c>
      <c r="G408" t="s">
        <v>60</v>
      </c>
      <c r="H408" t="s">
        <v>560</v>
      </c>
      <c r="I408" t="s">
        <v>95</v>
      </c>
      <c r="J408" s="2">
        <v>91.24</v>
      </c>
      <c r="K408">
        <v>8</v>
      </c>
      <c r="L408" t="s">
        <v>78</v>
      </c>
      <c r="M408">
        <v>4</v>
      </c>
      <c r="N408">
        <v>3</v>
      </c>
      <c r="O408">
        <v>0</v>
      </c>
      <c r="P408" t="s">
        <v>74</v>
      </c>
      <c r="Q408" t="s">
        <v>67</v>
      </c>
      <c r="R408">
        <v>0</v>
      </c>
      <c r="S408">
        <v>4</v>
      </c>
      <c r="T408" t="s">
        <v>84</v>
      </c>
      <c r="U408" t="s">
        <v>68</v>
      </c>
      <c r="V408" t="s">
        <v>110</v>
      </c>
      <c r="W408" s="3">
        <v>45593</v>
      </c>
      <c r="X408" t="b">
        <v>1</v>
      </c>
      <c r="Y408" t="b">
        <v>0</v>
      </c>
      <c r="Z408" t="s">
        <v>82</v>
      </c>
      <c r="AA408" t="s">
        <v>83</v>
      </c>
      <c r="AB408">
        <v>4</v>
      </c>
      <c r="AO408" t="str">
        <f t="shared" si="21"/>
        <v>41-60</v>
      </c>
      <c r="BD408">
        <v>8</v>
      </c>
      <c r="BF408" cm="1">
        <f t="array" ref="BF408">CORREL(J408:J1408,S408:S1408)</f>
        <v>-0.0404630331228395</v>
      </c>
      <c r="BH408">
        <v>4</v>
      </c>
      <c r="BI408">
        <f t="shared" si="22"/>
        <v>2</v>
      </c>
      <c r="BJ408">
        <f t="shared" si="23"/>
        <v>2</v>
      </c>
    </row>
    <row r="409" spans="1:62">
      <c r="A409" s="1">
        <v>982386733</v>
      </c>
      <c r="B409">
        <v>42</v>
      </c>
      <c r="C409" t="s">
        <v>59</v>
      </c>
      <c r="D409" t="s">
        <v>74</v>
      </c>
      <c r="E409" t="s">
        <v>61</v>
      </c>
      <c r="F409" t="s">
        <v>75</v>
      </c>
      <c r="G409" t="s">
        <v>74</v>
      </c>
      <c r="H409" t="s">
        <v>561</v>
      </c>
      <c r="I409" t="s">
        <v>118</v>
      </c>
      <c r="J409" s="2">
        <v>425.69</v>
      </c>
      <c r="K409">
        <v>5</v>
      </c>
      <c r="L409" t="s">
        <v>78</v>
      </c>
      <c r="M409">
        <v>2</v>
      </c>
      <c r="N409">
        <v>5</v>
      </c>
      <c r="O409">
        <v>0</v>
      </c>
      <c r="P409" t="s">
        <v>74</v>
      </c>
      <c r="Q409" t="s">
        <v>109</v>
      </c>
      <c r="R409">
        <v>0</v>
      </c>
      <c r="S409">
        <v>4</v>
      </c>
      <c r="T409" t="s">
        <v>79</v>
      </c>
      <c r="U409" t="s">
        <v>68</v>
      </c>
      <c r="V409" t="s">
        <v>69</v>
      </c>
      <c r="W409" s="3">
        <v>45464</v>
      </c>
      <c r="X409" t="b">
        <v>0</v>
      </c>
      <c r="Y409" t="b">
        <v>1</v>
      </c>
      <c r="Z409" t="s">
        <v>92</v>
      </c>
      <c r="AA409" t="s">
        <v>71</v>
      </c>
      <c r="AB409">
        <v>4</v>
      </c>
      <c r="AO409" t="str">
        <f t="shared" si="21"/>
        <v>41-60</v>
      </c>
      <c r="BD409">
        <v>5</v>
      </c>
      <c r="BF409" cm="1">
        <f t="array" ref="BF409">CORREL(J409:J1409,S409:S1409)</f>
        <v>-0.041725053410492</v>
      </c>
      <c r="BH409">
        <v>4</v>
      </c>
      <c r="BI409">
        <f t="shared" si="22"/>
        <v>1.25</v>
      </c>
      <c r="BJ409">
        <f t="shared" si="23"/>
        <v>3.2</v>
      </c>
    </row>
    <row r="410" spans="1:62">
      <c r="A410" s="1">
        <v>720063769</v>
      </c>
      <c r="B410">
        <v>41</v>
      </c>
      <c r="C410" t="s">
        <v>59</v>
      </c>
      <c r="D410" t="s">
        <v>74</v>
      </c>
      <c r="E410" t="s">
        <v>61</v>
      </c>
      <c r="F410" t="s">
        <v>62</v>
      </c>
      <c r="G410" t="s">
        <v>74</v>
      </c>
      <c r="H410" t="s">
        <v>562</v>
      </c>
      <c r="I410" t="s">
        <v>129</v>
      </c>
      <c r="J410" s="2">
        <v>446.11</v>
      </c>
      <c r="K410">
        <v>9</v>
      </c>
      <c r="L410" t="s">
        <v>65</v>
      </c>
      <c r="M410">
        <v>3</v>
      </c>
      <c r="N410">
        <v>1</v>
      </c>
      <c r="O410">
        <v>1</v>
      </c>
      <c r="P410" t="s">
        <v>79</v>
      </c>
      <c r="Q410" t="s">
        <v>109</v>
      </c>
      <c r="R410">
        <v>0</v>
      </c>
      <c r="S410">
        <v>10</v>
      </c>
      <c r="T410" t="s">
        <v>79</v>
      </c>
      <c r="U410" t="s">
        <v>105</v>
      </c>
      <c r="V410" t="s">
        <v>81</v>
      </c>
      <c r="W410" s="3">
        <v>45449</v>
      </c>
      <c r="X410" t="b">
        <v>1</v>
      </c>
      <c r="Y410" t="b">
        <v>1</v>
      </c>
      <c r="Z410" t="s">
        <v>82</v>
      </c>
      <c r="AA410" t="s">
        <v>97</v>
      </c>
      <c r="AB410">
        <v>11</v>
      </c>
      <c r="AO410" t="str">
        <f t="shared" si="21"/>
        <v>41-60</v>
      </c>
      <c r="BD410">
        <v>9</v>
      </c>
      <c r="BF410" cm="1">
        <f t="array" ref="BF410">CORREL(J410:J1410,S410:S1410)</f>
        <v>-0.0408475864943816</v>
      </c>
      <c r="BH410">
        <v>10</v>
      </c>
      <c r="BI410">
        <f t="shared" si="22"/>
        <v>0.9</v>
      </c>
      <c r="BJ410">
        <f t="shared" si="23"/>
        <v>11.1111111111111</v>
      </c>
    </row>
    <row r="411" spans="1:62">
      <c r="A411" s="1">
        <v>758453143</v>
      </c>
      <c r="B411">
        <v>23</v>
      </c>
      <c r="C411" t="s">
        <v>111</v>
      </c>
      <c r="D411" t="s">
        <v>74</v>
      </c>
      <c r="E411" t="s">
        <v>86</v>
      </c>
      <c r="F411" t="s">
        <v>75</v>
      </c>
      <c r="G411" t="s">
        <v>74</v>
      </c>
      <c r="H411" t="s">
        <v>563</v>
      </c>
      <c r="I411" t="s">
        <v>133</v>
      </c>
      <c r="J411" s="2">
        <v>490.11</v>
      </c>
      <c r="K411">
        <v>8</v>
      </c>
      <c r="L411" t="s">
        <v>85</v>
      </c>
      <c r="M411">
        <v>3</v>
      </c>
      <c r="N411">
        <v>4</v>
      </c>
      <c r="O411">
        <v>2</v>
      </c>
      <c r="P411" t="s">
        <v>84</v>
      </c>
      <c r="Q411" t="s">
        <v>80</v>
      </c>
      <c r="R411">
        <v>1</v>
      </c>
      <c r="S411">
        <v>1</v>
      </c>
      <c r="T411" t="s">
        <v>84</v>
      </c>
      <c r="U411" t="s">
        <v>90</v>
      </c>
      <c r="V411" t="s">
        <v>96</v>
      </c>
      <c r="W411" s="3">
        <v>45650</v>
      </c>
      <c r="X411" t="b">
        <v>0</v>
      </c>
      <c r="Y411" t="b">
        <v>0</v>
      </c>
      <c r="Z411" t="s">
        <v>102</v>
      </c>
      <c r="AA411" t="s">
        <v>83</v>
      </c>
      <c r="AB411">
        <v>14</v>
      </c>
      <c r="AO411" t="str">
        <f t="shared" si="21"/>
        <v>18-25</v>
      </c>
      <c r="BD411">
        <v>8</v>
      </c>
      <c r="BF411" cm="1">
        <f t="array" ref="BF411">CORREL(J411:J1411,S411:S1411)</f>
        <v>-0.0444788611228282</v>
      </c>
      <c r="BH411">
        <v>1</v>
      </c>
      <c r="BI411">
        <f t="shared" si="22"/>
        <v>8</v>
      </c>
      <c r="BJ411">
        <f t="shared" si="23"/>
        <v>0.125</v>
      </c>
    </row>
    <row r="412" spans="1:62">
      <c r="A412" s="1">
        <v>260282671</v>
      </c>
      <c r="B412">
        <v>44</v>
      </c>
      <c r="C412" t="s">
        <v>59</v>
      </c>
      <c r="D412" t="s">
        <v>74</v>
      </c>
      <c r="E412" t="s">
        <v>103</v>
      </c>
      <c r="F412" t="s">
        <v>75</v>
      </c>
      <c r="G412" t="s">
        <v>60</v>
      </c>
      <c r="H412" t="s">
        <v>564</v>
      </c>
      <c r="I412" t="s">
        <v>113</v>
      </c>
      <c r="J412" s="2">
        <v>403.57</v>
      </c>
      <c r="K412">
        <v>6</v>
      </c>
      <c r="L412" t="s">
        <v>85</v>
      </c>
      <c r="M412">
        <v>2</v>
      </c>
      <c r="N412">
        <v>2</v>
      </c>
      <c r="O412">
        <v>2</v>
      </c>
      <c r="P412" t="s">
        <v>74</v>
      </c>
      <c r="Q412" t="s">
        <v>80</v>
      </c>
      <c r="R412">
        <v>2</v>
      </c>
      <c r="S412">
        <v>2</v>
      </c>
      <c r="T412" t="s">
        <v>66</v>
      </c>
      <c r="U412" t="s">
        <v>90</v>
      </c>
      <c r="V412" t="s">
        <v>96</v>
      </c>
      <c r="W412" s="3">
        <v>45610</v>
      </c>
      <c r="X412" t="b">
        <v>0</v>
      </c>
      <c r="Y412" t="b">
        <v>0</v>
      </c>
      <c r="Z412" t="s">
        <v>92</v>
      </c>
      <c r="AA412" t="s">
        <v>97</v>
      </c>
      <c r="AB412">
        <v>1</v>
      </c>
      <c r="AO412" t="str">
        <f t="shared" ref="AO412:AO475" si="24">IF(B412&lt;=25,"18-25",IF(B412&lt;=40,"26-40",IF(B412&lt;=60,"41-60","Above60")))</f>
        <v>41-60</v>
      </c>
      <c r="BD412">
        <v>6</v>
      </c>
      <c r="BF412" cm="1">
        <f t="array" ref="BF412">CORREL(J412:J1412,S412:S1412)</f>
        <v>-0.0404316169531604</v>
      </c>
      <c r="BH412">
        <v>2</v>
      </c>
      <c r="BI412">
        <f t="shared" si="22"/>
        <v>3</v>
      </c>
      <c r="BJ412">
        <f t="shared" si="23"/>
        <v>0.666666666666667</v>
      </c>
    </row>
    <row r="413" spans="1:62">
      <c r="A413" s="1">
        <v>558767407</v>
      </c>
      <c r="B413">
        <v>42</v>
      </c>
      <c r="C413" t="s">
        <v>59</v>
      </c>
      <c r="D413" t="s">
        <v>74</v>
      </c>
      <c r="E413" t="s">
        <v>61</v>
      </c>
      <c r="F413" t="s">
        <v>62</v>
      </c>
      <c r="G413" t="s">
        <v>60</v>
      </c>
      <c r="H413" t="s">
        <v>565</v>
      </c>
      <c r="I413" t="s">
        <v>129</v>
      </c>
      <c r="J413" s="2">
        <v>442.15</v>
      </c>
      <c r="K413">
        <v>10</v>
      </c>
      <c r="L413" t="s">
        <v>65</v>
      </c>
      <c r="M413">
        <v>2</v>
      </c>
      <c r="N413">
        <v>3</v>
      </c>
      <c r="O413">
        <v>1</v>
      </c>
      <c r="P413" t="s">
        <v>74</v>
      </c>
      <c r="Q413" t="s">
        <v>80</v>
      </c>
      <c r="R413">
        <v>2</v>
      </c>
      <c r="S413">
        <v>1</v>
      </c>
      <c r="T413" t="s">
        <v>66</v>
      </c>
      <c r="U413" t="s">
        <v>90</v>
      </c>
      <c r="V413" t="s">
        <v>69</v>
      </c>
      <c r="W413" s="3">
        <v>45644</v>
      </c>
      <c r="X413" t="b">
        <v>0</v>
      </c>
      <c r="Y413" t="b">
        <v>1</v>
      </c>
      <c r="Z413" t="s">
        <v>70</v>
      </c>
      <c r="AA413" t="s">
        <v>71</v>
      </c>
      <c r="AB413">
        <v>9</v>
      </c>
      <c r="AO413" t="str">
        <f t="shared" si="24"/>
        <v>41-60</v>
      </c>
      <c r="BD413">
        <v>10</v>
      </c>
      <c r="BF413" cm="1">
        <f t="array" ref="BF413">CORREL(J413:J1413,S413:S1413)</f>
        <v>-0.0385655997001781</v>
      </c>
      <c r="BH413">
        <v>1</v>
      </c>
      <c r="BI413">
        <f t="shared" si="22"/>
        <v>10</v>
      </c>
      <c r="BJ413">
        <f t="shared" si="23"/>
        <v>0.1</v>
      </c>
    </row>
    <row r="414" spans="1:62">
      <c r="A414" s="1">
        <v>477209520</v>
      </c>
      <c r="B414">
        <v>49</v>
      </c>
      <c r="C414" t="s">
        <v>59</v>
      </c>
      <c r="D414" t="s">
        <v>60</v>
      </c>
      <c r="E414" t="s">
        <v>98</v>
      </c>
      <c r="F414" t="s">
        <v>62</v>
      </c>
      <c r="G414" t="s">
        <v>74</v>
      </c>
      <c r="H414" t="s">
        <v>566</v>
      </c>
      <c r="I414" t="s">
        <v>113</v>
      </c>
      <c r="J414" s="2">
        <v>78.71</v>
      </c>
      <c r="K414">
        <v>5</v>
      </c>
      <c r="L414" t="s">
        <v>85</v>
      </c>
      <c r="M414">
        <v>4</v>
      </c>
      <c r="N414">
        <v>3</v>
      </c>
      <c r="O414">
        <v>1</v>
      </c>
      <c r="P414" t="s">
        <v>66</v>
      </c>
      <c r="Q414" t="s">
        <v>67</v>
      </c>
      <c r="R414">
        <v>1</v>
      </c>
      <c r="S414">
        <v>10</v>
      </c>
      <c r="T414" t="s">
        <v>84</v>
      </c>
      <c r="U414" t="s">
        <v>90</v>
      </c>
      <c r="V414" t="s">
        <v>81</v>
      </c>
      <c r="W414" s="3">
        <v>45392</v>
      </c>
      <c r="X414" t="b">
        <v>1</v>
      </c>
      <c r="Y414" t="b">
        <v>1</v>
      </c>
      <c r="Z414" t="s">
        <v>102</v>
      </c>
      <c r="AA414" t="s">
        <v>71</v>
      </c>
      <c r="AB414">
        <v>4</v>
      </c>
      <c r="AO414" t="str">
        <f t="shared" si="24"/>
        <v>41-60</v>
      </c>
      <c r="BD414">
        <v>5</v>
      </c>
      <c r="BF414" cm="1">
        <f t="array" ref="BF414">CORREL(J414:J1414,S414:S1414)</f>
        <v>-0.035382685009678</v>
      </c>
      <c r="BH414">
        <v>10</v>
      </c>
      <c r="BI414">
        <f t="shared" si="22"/>
        <v>0.5</v>
      </c>
      <c r="BJ414">
        <f t="shared" si="23"/>
        <v>20</v>
      </c>
    </row>
    <row r="415" spans="1:62">
      <c r="A415" s="1">
        <v>422075005</v>
      </c>
      <c r="B415">
        <v>45</v>
      </c>
      <c r="C415" t="s">
        <v>59</v>
      </c>
      <c r="D415" t="s">
        <v>60</v>
      </c>
      <c r="E415" t="s">
        <v>98</v>
      </c>
      <c r="F415" t="s">
        <v>75</v>
      </c>
      <c r="G415" t="s">
        <v>74</v>
      </c>
      <c r="H415" t="s">
        <v>567</v>
      </c>
      <c r="I415" t="s">
        <v>100</v>
      </c>
      <c r="J415" s="2">
        <v>491.51</v>
      </c>
      <c r="K415">
        <v>2</v>
      </c>
      <c r="L415" t="s">
        <v>65</v>
      </c>
      <c r="M415">
        <v>2</v>
      </c>
      <c r="N415">
        <v>5</v>
      </c>
      <c r="O415">
        <v>0</v>
      </c>
      <c r="P415" t="s">
        <v>79</v>
      </c>
      <c r="Q415" t="s">
        <v>109</v>
      </c>
      <c r="R415">
        <v>1</v>
      </c>
      <c r="S415">
        <v>1</v>
      </c>
      <c r="T415" t="s">
        <v>74</v>
      </c>
      <c r="U415" t="s">
        <v>90</v>
      </c>
      <c r="V415" t="s">
        <v>81</v>
      </c>
      <c r="W415" s="3">
        <v>45632</v>
      </c>
      <c r="X415" t="b">
        <v>1</v>
      </c>
      <c r="Y415" t="b">
        <v>0</v>
      </c>
      <c r="Z415" t="s">
        <v>70</v>
      </c>
      <c r="AA415" t="s">
        <v>71</v>
      </c>
      <c r="AB415">
        <v>7</v>
      </c>
      <c r="AO415" t="str">
        <f t="shared" si="24"/>
        <v>41-60</v>
      </c>
      <c r="BD415">
        <v>2</v>
      </c>
      <c r="BF415" cm="1">
        <f t="array" ref="BF415">CORREL(J415:J1415,S415:S1415)</f>
        <v>-0.0313386088584523</v>
      </c>
      <c r="BH415">
        <v>1</v>
      </c>
      <c r="BI415">
        <f t="shared" si="22"/>
        <v>2</v>
      </c>
      <c r="BJ415">
        <f t="shared" si="23"/>
        <v>0.5</v>
      </c>
    </row>
    <row r="416" spans="1:62">
      <c r="A416" s="1">
        <v>472662261</v>
      </c>
      <c r="B416">
        <v>36</v>
      </c>
      <c r="C416" t="s">
        <v>59</v>
      </c>
      <c r="D416" t="s">
        <v>60</v>
      </c>
      <c r="E416" t="s">
        <v>86</v>
      </c>
      <c r="F416" t="s">
        <v>62</v>
      </c>
      <c r="G416" t="s">
        <v>60</v>
      </c>
      <c r="H416" t="s">
        <v>568</v>
      </c>
      <c r="I416" t="s">
        <v>100</v>
      </c>
      <c r="J416" s="2">
        <v>457.39</v>
      </c>
      <c r="K416">
        <v>12</v>
      </c>
      <c r="L416" t="s">
        <v>78</v>
      </c>
      <c r="M416">
        <v>1</v>
      </c>
      <c r="N416">
        <v>1</v>
      </c>
      <c r="O416">
        <v>1</v>
      </c>
      <c r="P416" t="s">
        <v>74</v>
      </c>
      <c r="Q416" t="s">
        <v>80</v>
      </c>
      <c r="R416">
        <v>1</v>
      </c>
      <c r="S416">
        <v>5</v>
      </c>
      <c r="T416" t="s">
        <v>74</v>
      </c>
      <c r="U416" t="s">
        <v>105</v>
      </c>
      <c r="V416" t="s">
        <v>69</v>
      </c>
      <c r="W416" s="3">
        <v>45594</v>
      </c>
      <c r="X416" t="b">
        <v>1</v>
      </c>
      <c r="Y416" t="b">
        <v>0</v>
      </c>
      <c r="Z416" t="s">
        <v>92</v>
      </c>
      <c r="AA416" t="s">
        <v>83</v>
      </c>
      <c r="AB416">
        <v>9</v>
      </c>
      <c r="AO416" t="str">
        <f t="shared" si="24"/>
        <v>26-40</v>
      </c>
      <c r="BD416">
        <v>12</v>
      </c>
      <c r="BF416" cm="1">
        <f t="array" ref="BF416">CORREL(J416:J1416,S416:S1416)</f>
        <v>-0.0271280846811905</v>
      </c>
      <c r="BH416">
        <v>5</v>
      </c>
      <c r="BI416">
        <f t="shared" si="22"/>
        <v>2.4</v>
      </c>
      <c r="BJ416">
        <f t="shared" si="23"/>
        <v>2.08333333333333</v>
      </c>
    </row>
    <row r="417" spans="1:62">
      <c r="A417" s="1">
        <v>776427686</v>
      </c>
      <c r="B417">
        <v>38</v>
      </c>
      <c r="C417" t="s">
        <v>59</v>
      </c>
      <c r="D417" t="s">
        <v>74</v>
      </c>
      <c r="E417" t="s">
        <v>103</v>
      </c>
      <c r="F417" t="s">
        <v>75</v>
      </c>
      <c r="G417" t="s">
        <v>74</v>
      </c>
      <c r="H417" t="s">
        <v>569</v>
      </c>
      <c r="I417" t="s">
        <v>77</v>
      </c>
      <c r="J417" s="2">
        <v>178.61</v>
      </c>
      <c r="K417">
        <v>12</v>
      </c>
      <c r="L417" t="s">
        <v>85</v>
      </c>
      <c r="M417">
        <v>5</v>
      </c>
      <c r="N417">
        <v>1</v>
      </c>
      <c r="O417">
        <v>2</v>
      </c>
      <c r="P417" t="s">
        <v>74</v>
      </c>
      <c r="Q417" t="s">
        <v>80</v>
      </c>
      <c r="R417">
        <v>0</v>
      </c>
      <c r="S417">
        <v>3</v>
      </c>
      <c r="T417" t="s">
        <v>66</v>
      </c>
      <c r="U417" t="s">
        <v>90</v>
      </c>
      <c r="V417" t="s">
        <v>69</v>
      </c>
      <c r="W417" s="3">
        <v>45483</v>
      </c>
      <c r="X417" t="b">
        <v>1</v>
      </c>
      <c r="Y417" t="b">
        <v>0</v>
      </c>
      <c r="Z417" t="s">
        <v>92</v>
      </c>
      <c r="AA417" t="s">
        <v>71</v>
      </c>
      <c r="AB417">
        <v>8</v>
      </c>
      <c r="AO417" t="str">
        <f t="shared" si="24"/>
        <v>26-40</v>
      </c>
      <c r="BD417">
        <v>12</v>
      </c>
      <c r="BF417" cm="1">
        <f t="array" ref="BF417">CORREL(J417:J1417,S417:S1417)</f>
        <v>-0.0268239735682246</v>
      </c>
      <c r="BH417">
        <v>3</v>
      </c>
      <c r="BI417">
        <f t="shared" si="22"/>
        <v>4</v>
      </c>
      <c r="BJ417">
        <f t="shared" si="23"/>
        <v>0.75</v>
      </c>
    </row>
    <row r="418" spans="1:62">
      <c r="A418" s="1">
        <v>374688133</v>
      </c>
      <c r="B418">
        <v>44</v>
      </c>
      <c r="C418" t="s">
        <v>73</v>
      </c>
      <c r="D418" t="s">
        <v>60</v>
      </c>
      <c r="E418" t="s">
        <v>86</v>
      </c>
      <c r="F418" t="s">
        <v>75</v>
      </c>
      <c r="G418" t="s">
        <v>60</v>
      </c>
      <c r="H418" t="s">
        <v>570</v>
      </c>
      <c r="I418" t="s">
        <v>122</v>
      </c>
      <c r="J418" s="2">
        <v>492.51</v>
      </c>
      <c r="K418">
        <v>7</v>
      </c>
      <c r="L418" t="s">
        <v>85</v>
      </c>
      <c r="M418">
        <v>1</v>
      </c>
      <c r="N418">
        <v>4</v>
      </c>
      <c r="O418">
        <v>1</v>
      </c>
      <c r="P418" t="s">
        <v>84</v>
      </c>
      <c r="Q418" t="s">
        <v>80</v>
      </c>
      <c r="R418">
        <v>0</v>
      </c>
      <c r="S418">
        <v>2</v>
      </c>
      <c r="T418" t="s">
        <v>79</v>
      </c>
      <c r="U418" t="s">
        <v>105</v>
      </c>
      <c r="V418" t="s">
        <v>81</v>
      </c>
      <c r="W418" s="3">
        <v>45321</v>
      </c>
      <c r="X418" t="b">
        <v>1</v>
      </c>
      <c r="Y418" t="b">
        <v>1</v>
      </c>
      <c r="Z418" t="s">
        <v>82</v>
      </c>
      <c r="AA418" t="s">
        <v>83</v>
      </c>
      <c r="AB418">
        <v>4</v>
      </c>
      <c r="AO418" t="str">
        <f t="shared" si="24"/>
        <v>41-60</v>
      </c>
      <c r="BD418">
        <v>7</v>
      </c>
      <c r="BF418" cm="1">
        <f t="array" ref="BF418">CORREL(J418:J1418,S418:S1418)</f>
        <v>-0.027960670102116</v>
      </c>
      <c r="BH418">
        <v>2</v>
      </c>
      <c r="BI418">
        <f t="shared" si="22"/>
        <v>3.5</v>
      </c>
      <c r="BJ418">
        <f t="shared" si="23"/>
        <v>0.571428571428571</v>
      </c>
    </row>
    <row r="419" spans="1:62">
      <c r="A419" s="4" t="s">
        <v>571</v>
      </c>
      <c r="B419">
        <v>37</v>
      </c>
      <c r="C419" t="s">
        <v>224</v>
      </c>
      <c r="D419" t="s">
        <v>74</v>
      </c>
      <c r="E419" t="s">
        <v>61</v>
      </c>
      <c r="F419" t="s">
        <v>62</v>
      </c>
      <c r="G419" t="s">
        <v>74</v>
      </c>
      <c r="H419" t="s">
        <v>572</v>
      </c>
      <c r="I419" t="s">
        <v>95</v>
      </c>
      <c r="J419" s="2">
        <v>411.4</v>
      </c>
      <c r="K419">
        <v>3</v>
      </c>
      <c r="L419" t="s">
        <v>78</v>
      </c>
      <c r="M419">
        <v>1</v>
      </c>
      <c r="N419">
        <v>3</v>
      </c>
      <c r="O419">
        <v>0</v>
      </c>
      <c r="P419" t="s">
        <v>74</v>
      </c>
      <c r="Q419" t="s">
        <v>67</v>
      </c>
      <c r="R419">
        <v>2</v>
      </c>
      <c r="S419">
        <v>9</v>
      </c>
      <c r="T419" t="s">
        <v>66</v>
      </c>
      <c r="U419" t="s">
        <v>90</v>
      </c>
      <c r="V419" t="s">
        <v>81</v>
      </c>
      <c r="W419" s="3">
        <v>45516</v>
      </c>
      <c r="X419" t="b">
        <v>1</v>
      </c>
      <c r="Y419" t="b">
        <v>0</v>
      </c>
      <c r="Z419" t="s">
        <v>92</v>
      </c>
      <c r="AA419" t="s">
        <v>83</v>
      </c>
      <c r="AB419">
        <v>6</v>
      </c>
      <c r="AO419" t="str">
        <f t="shared" si="24"/>
        <v>26-40</v>
      </c>
      <c r="BD419">
        <v>3</v>
      </c>
      <c r="BF419" cm="1">
        <f t="array" ref="BF419">CORREL(J419:J1419,S419:S1419)</f>
        <v>-0.0246415701077071</v>
      </c>
      <c r="BH419">
        <v>9</v>
      </c>
      <c r="BI419">
        <f t="shared" si="22"/>
        <v>0.333333333333333</v>
      </c>
      <c r="BJ419">
        <f t="shared" si="23"/>
        <v>27</v>
      </c>
    </row>
    <row r="420" spans="1:62">
      <c r="A420" s="1">
        <v>951481769</v>
      </c>
      <c r="B420">
        <v>36</v>
      </c>
      <c r="C420" t="s">
        <v>73</v>
      </c>
      <c r="D420" t="s">
        <v>60</v>
      </c>
      <c r="E420" t="s">
        <v>103</v>
      </c>
      <c r="F420" t="s">
        <v>87</v>
      </c>
      <c r="G420" t="s">
        <v>74</v>
      </c>
      <c r="H420" t="s">
        <v>573</v>
      </c>
      <c r="I420" t="s">
        <v>171</v>
      </c>
      <c r="J420" s="2">
        <v>96.52</v>
      </c>
      <c r="K420">
        <v>11</v>
      </c>
      <c r="L420" t="s">
        <v>78</v>
      </c>
      <c r="M420">
        <v>5</v>
      </c>
      <c r="N420">
        <v>3</v>
      </c>
      <c r="O420">
        <v>2</v>
      </c>
      <c r="P420" t="s">
        <v>84</v>
      </c>
      <c r="Q420" t="s">
        <v>80</v>
      </c>
      <c r="R420">
        <v>1</v>
      </c>
      <c r="S420">
        <v>3</v>
      </c>
      <c r="T420" t="s">
        <v>66</v>
      </c>
      <c r="U420" t="s">
        <v>68</v>
      </c>
      <c r="V420" t="s">
        <v>110</v>
      </c>
      <c r="W420" s="3">
        <v>45368</v>
      </c>
      <c r="X420" t="b">
        <v>0</v>
      </c>
      <c r="Y420" t="b">
        <v>0</v>
      </c>
      <c r="Z420" t="s">
        <v>102</v>
      </c>
      <c r="AA420" t="s">
        <v>83</v>
      </c>
      <c r="AB420">
        <v>11</v>
      </c>
      <c r="AO420" t="str">
        <f t="shared" si="24"/>
        <v>26-40</v>
      </c>
      <c r="BD420">
        <v>11</v>
      </c>
      <c r="BF420" cm="1">
        <f t="array" ref="BF420">CORREL(J420:J1420,S420:S1420)</f>
        <v>-0.0269298312489244</v>
      </c>
      <c r="BH420">
        <v>3</v>
      </c>
      <c r="BI420">
        <f t="shared" si="22"/>
        <v>3.66666666666667</v>
      </c>
      <c r="BJ420">
        <f t="shared" si="23"/>
        <v>0.818181818181818</v>
      </c>
    </row>
    <row r="421" spans="1:62">
      <c r="A421" s="1">
        <v>723241243</v>
      </c>
      <c r="B421">
        <v>34</v>
      </c>
      <c r="C421" t="s">
        <v>73</v>
      </c>
      <c r="D421" t="s">
        <v>74</v>
      </c>
      <c r="E421" t="s">
        <v>61</v>
      </c>
      <c r="F421" t="s">
        <v>75</v>
      </c>
      <c r="G421" t="s">
        <v>60</v>
      </c>
      <c r="H421" t="s">
        <v>574</v>
      </c>
      <c r="I421" t="s">
        <v>115</v>
      </c>
      <c r="J421" s="2">
        <v>65.45</v>
      </c>
      <c r="K421">
        <v>6</v>
      </c>
      <c r="L421" t="s">
        <v>78</v>
      </c>
      <c r="M421">
        <v>2</v>
      </c>
      <c r="N421">
        <v>4</v>
      </c>
      <c r="O421">
        <v>1</v>
      </c>
      <c r="P421" t="s">
        <v>74</v>
      </c>
      <c r="Q421" t="s">
        <v>109</v>
      </c>
      <c r="R421">
        <v>0</v>
      </c>
      <c r="S421">
        <v>2</v>
      </c>
      <c r="T421" t="s">
        <v>79</v>
      </c>
      <c r="U421" t="s">
        <v>90</v>
      </c>
      <c r="V421" t="s">
        <v>69</v>
      </c>
      <c r="W421" s="3">
        <v>45556</v>
      </c>
      <c r="X421" t="b">
        <v>1</v>
      </c>
      <c r="Y421" t="b">
        <v>1</v>
      </c>
      <c r="Z421" t="s">
        <v>92</v>
      </c>
      <c r="AA421" t="s">
        <v>71</v>
      </c>
      <c r="AB421">
        <v>3</v>
      </c>
      <c r="AO421" t="str">
        <f t="shared" si="24"/>
        <v>26-40</v>
      </c>
      <c r="BD421">
        <v>6</v>
      </c>
      <c r="BF421" cm="1">
        <f t="array" ref="BF421">CORREL(J421:J1421,S421:S1421)</f>
        <v>-0.029031596867882</v>
      </c>
      <c r="BH421">
        <v>2</v>
      </c>
      <c r="BI421">
        <f t="shared" si="22"/>
        <v>3</v>
      </c>
      <c r="BJ421">
        <f t="shared" si="23"/>
        <v>0.666666666666667</v>
      </c>
    </row>
    <row r="422" spans="1:62">
      <c r="A422" s="1">
        <v>626875354</v>
      </c>
      <c r="B422">
        <v>23</v>
      </c>
      <c r="C422" t="s">
        <v>73</v>
      </c>
      <c r="D422" t="s">
        <v>60</v>
      </c>
      <c r="E422" t="s">
        <v>86</v>
      </c>
      <c r="F422" t="s">
        <v>75</v>
      </c>
      <c r="G422" t="s">
        <v>60</v>
      </c>
      <c r="H422" t="s">
        <v>575</v>
      </c>
      <c r="I422" t="s">
        <v>122</v>
      </c>
      <c r="J422" s="2">
        <v>255.86</v>
      </c>
      <c r="K422">
        <v>3</v>
      </c>
      <c r="L422" t="s">
        <v>85</v>
      </c>
      <c r="M422">
        <v>4</v>
      </c>
      <c r="N422">
        <v>5</v>
      </c>
      <c r="O422">
        <v>2</v>
      </c>
      <c r="P422" t="s">
        <v>74</v>
      </c>
      <c r="Q422" t="s">
        <v>109</v>
      </c>
      <c r="R422">
        <v>0</v>
      </c>
      <c r="S422">
        <v>1</v>
      </c>
      <c r="T422" t="s">
        <v>84</v>
      </c>
      <c r="U422" t="s">
        <v>68</v>
      </c>
      <c r="V422" t="s">
        <v>81</v>
      </c>
      <c r="W422" s="3">
        <v>45376</v>
      </c>
      <c r="X422" t="b">
        <v>1</v>
      </c>
      <c r="Y422" t="b">
        <v>0</v>
      </c>
      <c r="Z422" t="s">
        <v>102</v>
      </c>
      <c r="AA422" t="s">
        <v>71</v>
      </c>
      <c r="AB422">
        <v>4</v>
      </c>
      <c r="AO422" t="str">
        <f t="shared" si="24"/>
        <v>18-25</v>
      </c>
      <c r="BD422">
        <v>3</v>
      </c>
      <c r="BF422" cm="1">
        <f t="array" ref="BF422">CORREL(J422:J1422,S422:S1422)</f>
        <v>-0.0325348737822569</v>
      </c>
      <c r="BH422">
        <v>1</v>
      </c>
      <c r="BI422">
        <f t="shared" si="22"/>
        <v>3</v>
      </c>
      <c r="BJ422">
        <f t="shared" si="23"/>
        <v>0.333333333333333</v>
      </c>
    </row>
    <row r="423" spans="1:62">
      <c r="A423" s="1">
        <v>546340814</v>
      </c>
      <c r="B423">
        <v>35</v>
      </c>
      <c r="C423" t="s">
        <v>73</v>
      </c>
      <c r="D423" t="s">
        <v>74</v>
      </c>
      <c r="E423" t="s">
        <v>103</v>
      </c>
      <c r="F423" t="s">
        <v>62</v>
      </c>
      <c r="G423" t="s">
        <v>74</v>
      </c>
      <c r="H423" t="s">
        <v>576</v>
      </c>
      <c r="I423" t="s">
        <v>100</v>
      </c>
      <c r="J423" s="2">
        <v>74.69</v>
      </c>
      <c r="K423">
        <v>10</v>
      </c>
      <c r="L423" t="s">
        <v>78</v>
      </c>
      <c r="M423">
        <v>5</v>
      </c>
      <c r="N423">
        <v>3</v>
      </c>
      <c r="O423">
        <v>1</v>
      </c>
      <c r="P423" t="s">
        <v>84</v>
      </c>
      <c r="Q423" t="s">
        <v>67</v>
      </c>
      <c r="R423">
        <v>0</v>
      </c>
      <c r="S423">
        <v>6</v>
      </c>
      <c r="T423" t="s">
        <v>79</v>
      </c>
      <c r="U423" t="s">
        <v>105</v>
      </c>
      <c r="V423" t="s">
        <v>81</v>
      </c>
      <c r="W423" s="3">
        <v>45608</v>
      </c>
      <c r="X423" t="b">
        <v>0</v>
      </c>
      <c r="Y423" t="b">
        <v>1</v>
      </c>
      <c r="Z423" t="s">
        <v>70</v>
      </c>
      <c r="AA423" t="s">
        <v>71</v>
      </c>
      <c r="AB423">
        <v>3</v>
      </c>
      <c r="AO423" t="str">
        <f t="shared" si="24"/>
        <v>26-40</v>
      </c>
      <c r="BD423">
        <v>10</v>
      </c>
      <c r="BF423" cm="1">
        <f t="array" ref="BF423">CORREL(J423:J1423,S423:S1423)</f>
        <v>-0.0330603440661115</v>
      </c>
      <c r="BH423">
        <v>6</v>
      </c>
      <c r="BI423">
        <f t="shared" si="22"/>
        <v>1.66666666666667</v>
      </c>
      <c r="BJ423">
        <f t="shared" si="23"/>
        <v>3.6</v>
      </c>
    </row>
    <row r="424" spans="1:62">
      <c r="A424" s="1">
        <v>647695737</v>
      </c>
      <c r="B424">
        <v>45</v>
      </c>
      <c r="C424" t="s">
        <v>73</v>
      </c>
      <c r="D424" t="s">
        <v>60</v>
      </c>
      <c r="E424" t="s">
        <v>98</v>
      </c>
      <c r="F424" t="s">
        <v>87</v>
      </c>
      <c r="G424" t="s">
        <v>60</v>
      </c>
      <c r="H424" t="s">
        <v>577</v>
      </c>
      <c r="I424" t="s">
        <v>95</v>
      </c>
      <c r="J424" s="2">
        <v>430.75</v>
      </c>
      <c r="K424">
        <v>8</v>
      </c>
      <c r="L424" t="s">
        <v>65</v>
      </c>
      <c r="M424">
        <v>3</v>
      </c>
      <c r="N424">
        <v>4</v>
      </c>
      <c r="O424">
        <v>2</v>
      </c>
      <c r="P424" t="s">
        <v>84</v>
      </c>
      <c r="Q424" t="s">
        <v>109</v>
      </c>
      <c r="R424">
        <v>1</v>
      </c>
      <c r="S424">
        <v>5</v>
      </c>
      <c r="T424" t="s">
        <v>66</v>
      </c>
      <c r="U424" t="s">
        <v>68</v>
      </c>
      <c r="V424" t="s">
        <v>110</v>
      </c>
      <c r="W424" s="3">
        <v>45388</v>
      </c>
      <c r="X424" t="b">
        <v>0</v>
      </c>
      <c r="Y424" t="b">
        <v>0</v>
      </c>
      <c r="Z424" t="s">
        <v>70</v>
      </c>
      <c r="AA424" t="s">
        <v>71</v>
      </c>
      <c r="AB424">
        <v>6</v>
      </c>
      <c r="AO424" t="str">
        <f t="shared" si="24"/>
        <v>41-60</v>
      </c>
      <c r="BD424">
        <v>8</v>
      </c>
      <c r="BF424" cm="1">
        <f t="array" ref="BF424">CORREL(J424:J1424,S424:S1424)</f>
        <v>-0.0325948796834589</v>
      </c>
      <c r="BH424">
        <v>5</v>
      </c>
      <c r="BI424">
        <f t="shared" si="22"/>
        <v>1.6</v>
      </c>
      <c r="BJ424">
        <f t="shared" si="23"/>
        <v>3.125</v>
      </c>
    </row>
    <row r="425" spans="1:62">
      <c r="A425" s="1">
        <v>628922088</v>
      </c>
      <c r="B425">
        <v>38</v>
      </c>
      <c r="C425" t="s">
        <v>73</v>
      </c>
      <c r="D425" t="s">
        <v>74</v>
      </c>
      <c r="E425" t="s">
        <v>98</v>
      </c>
      <c r="F425" t="s">
        <v>87</v>
      </c>
      <c r="G425" t="s">
        <v>74</v>
      </c>
      <c r="H425" t="s">
        <v>578</v>
      </c>
      <c r="I425" t="s">
        <v>133</v>
      </c>
      <c r="J425" s="2">
        <v>370.17</v>
      </c>
      <c r="K425">
        <v>2</v>
      </c>
      <c r="L425" t="s">
        <v>65</v>
      </c>
      <c r="M425">
        <v>5</v>
      </c>
      <c r="N425">
        <v>4</v>
      </c>
      <c r="O425">
        <v>2</v>
      </c>
      <c r="P425" t="s">
        <v>79</v>
      </c>
      <c r="Q425" t="s">
        <v>80</v>
      </c>
      <c r="R425">
        <v>1</v>
      </c>
      <c r="S425">
        <v>9</v>
      </c>
      <c r="T425" t="s">
        <v>84</v>
      </c>
      <c r="U425" t="s">
        <v>68</v>
      </c>
      <c r="V425" t="s">
        <v>110</v>
      </c>
      <c r="W425" s="3">
        <v>45619</v>
      </c>
      <c r="X425" t="b">
        <v>0</v>
      </c>
      <c r="Y425" t="b">
        <v>1</v>
      </c>
      <c r="Z425" t="s">
        <v>70</v>
      </c>
      <c r="AA425" t="s">
        <v>97</v>
      </c>
      <c r="AB425">
        <v>1</v>
      </c>
      <c r="AO425" t="str">
        <f t="shared" si="24"/>
        <v>26-40</v>
      </c>
      <c r="BD425">
        <v>2</v>
      </c>
      <c r="BF425" cm="1">
        <f t="array" ref="BF425">CORREL(J425:J1425,S425:S1425)</f>
        <v>-0.0323174646113996</v>
      </c>
      <c r="BH425">
        <v>9</v>
      </c>
      <c r="BI425">
        <f t="shared" si="22"/>
        <v>0.222222222222222</v>
      </c>
      <c r="BJ425">
        <f t="shared" si="23"/>
        <v>40.5</v>
      </c>
    </row>
    <row r="426" spans="1:62">
      <c r="A426" s="1">
        <v>539512529</v>
      </c>
      <c r="B426">
        <v>25</v>
      </c>
      <c r="C426" t="s">
        <v>73</v>
      </c>
      <c r="D426" t="s">
        <v>60</v>
      </c>
      <c r="E426" t="s">
        <v>103</v>
      </c>
      <c r="F426" t="s">
        <v>87</v>
      </c>
      <c r="G426" t="s">
        <v>74</v>
      </c>
      <c r="H426" t="s">
        <v>579</v>
      </c>
      <c r="I426" t="s">
        <v>131</v>
      </c>
      <c r="J426" s="2">
        <v>384.26</v>
      </c>
      <c r="K426">
        <v>6</v>
      </c>
      <c r="L426" t="s">
        <v>65</v>
      </c>
      <c r="M426">
        <v>4</v>
      </c>
      <c r="N426">
        <v>2</v>
      </c>
      <c r="O426">
        <v>1</v>
      </c>
      <c r="P426" t="s">
        <v>74</v>
      </c>
      <c r="Q426" t="s">
        <v>80</v>
      </c>
      <c r="R426">
        <v>0</v>
      </c>
      <c r="S426">
        <v>9</v>
      </c>
      <c r="T426" t="s">
        <v>79</v>
      </c>
      <c r="U426" t="s">
        <v>90</v>
      </c>
      <c r="V426" t="s">
        <v>81</v>
      </c>
      <c r="W426" s="3">
        <v>45484</v>
      </c>
      <c r="X426" t="b">
        <v>0</v>
      </c>
      <c r="Y426" t="b">
        <v>1</v>
      </c>
      <c r="Z426" t="s">
        <v>70</v>
      </c>
      <c r="AA426" t="s">
        <v>71</v>
      </c>
      <c r="AB426">
        <v>11</v>
      </c>
      <c r="AO426" t="str">
        <f t="shared" si="24"/>
        <v>18-25</v>
      </c>
      <c r="BD426">
        <v>6</v>
      </c>
      <c r="BF426" cm="1">
        <f t="array" ref="BF426">CORREL(J426:J1426,S426:S1426)</f>
        <v>-0.033928675192906</v>
      </c>
      <c r="BH426">
        <v>9</v>
      </c>
      <c r="BI426">
        <f t="shared" si="22"/>
        <v>0.666666666666667</v>
      </c>
      <c r="BJ426">
        <f t="shared" si="23"/>
        <v>13.5</v>
      </c>
    </row>
    <row r="427" spans="1:62">
      <c r="A427" s="4" t="s">
        <v>580</v>
      </c>
      <c r="B427">
        <v>26</v>
      </c>
      <c r="C427" t="s">
        <v>73</v>
      </c>
      <c r="D427" t="s">
        <v>60</v>
      </c>
      <c r="E427" t="s">
        <v>61</v>
      </c>
      <c r="F427" t="s">
        <v>87</v>
      </c>
      <c r="G427" t="s">
        <v>60</v>
      </c>
      <c r="H427" t="s">
        <v>581</v>
      </c>
      <c r="I427" t="s">
        <v>95</v>
      </c>
      <c r="J427" s="2">
        <v>128.01</v>
      </c>
      <c r="K427">
        <v>2</v>
      </c>
      <c r="L427" t="s">
        <v>65</v>
      </c>
      <c r="M427">
        <v>4</v>
      </c>
      <c r="N427">
        <v>2</v>
      </c>
      <c r="O427">
        <v>1</v>
      </c>
      <c r="P427" t="s">
        <v>79</v>
      </c>
      <c r="Q427" t="s">
        <v>67</v>
      </c>
      <c r="R427">
        <v>0</v>
      </c>
      <c r="S427">
        <v>1</v>
      </c>
      <c r="T427" t="s">
        <v>74</v>
      </c>
      <c r="U427" t="s">
        <v>90</v>
      </c>
      <c r="V427" t="s">
        <v>91</v>
      </c>
      <c r="W427" s="3">
        <v>45399</v>
      </c>
      <c r="X427" t="b">
        <v>1</v>
      </c>
      <c r="Y427" t="b">
        <v>0</v>
      </c>
      <c r="Z427" t="s">
        <v>70</v>
      </c>
      <c r="AA427" t="s">
        <v>71</v>
      </c>
      <c r="AB427">
        <v>10</v>
      </c>
      <c r="AO427" t="str">
        <f t="shared" si="24"/>
        <v>26-40</v>
      </c>
      <c r="BD427">
        <v>2</v>
      </c>
      <c r="BF427" cm="1">
        <f t="array" ref="BF427">CORREL(J427:J1427,S427:S1427)</f>
        <v>-0.0357940566795964</v>
      </c>
      <c r="BH427">
        <v>1</v>
      </c>
      <c r="BI427">
        <f t="shared" si="22"/>
        <v>2</v>
      </c>
      <c r="BJ427">
        <f t="shared" si="23"/>
        <v>0.5</v>
      </c>
    </row>
    <row r="428" spans="1:62">
      <c r="A428" s="1">
        <v>884459235</v>
      </c>
      <c r="B428">
        <v>46</v>
      </c>
      <c r="C428" t="s">
        <v>59</v>
      </c>
      <c r="D428" t="s">
        <v>74</v>
      </c>
      <c r="E428" t="s">
        <v>61</v>
      </c>
      <c r="F428" t="s">
        <v>75</v>
      </c>
      <c r="G428" t="s">
        <v>74</v>
      </c>
      <c r="H428" t="s">
        <v>582</v>
      </c>
      <c r="I428" t="s">
        <v>118</v>
      </c>
      <c r="J428" s="2">
        <v>301.4</v>
      </c>
      <c r="K428">
        <v>4</v>
      </c>
      <c r="L428" t="s">
        <v>85</v>
      </c>
      <c r="M428">
        <v>5</v>
      </c>
      <c r="N428">
        <v>3</v>
      </c>
      <c r="O428">
        <v>0</v>
      </c>
      <c r="P428" t="s">
        <v>79</v>
      </c>
      <c r="Q428" t="s">
        <v>67</v>
      </c>
      <c r="R428">
        <v>0</v>
      </c>
      <c r="S428">
        <v>5</v>
      </c>
      <c r="T428" t="s">
        <v>66</v>
      </c>
      <c r="U428" t="s">
        <v>105</v>
      </c>
      <c r="V428" t="s">
        <v>91</v>
      </c>
      <c r="W428" s="3">
        <v>45549</v>
      </c>
      <c r="X428" t="b">
        <v>0</v>
      </c>
      <c r="Y428" t="b">
        <v>1</v>
      </c>
      <c r="Z428" t="s">
        <v>102</v>
      </c>
      <c r="AA428" t="s">
        <v>83</v>
      </c>
      <c r="AB428">
        <v>5</v>
      </c>
      <c r="AO428" t="str">
        <f t="shared" si="24"/>
        <v>41-60</v>
      </c>
      <c r="BD428">
        <v>4</v>
      </c>
      <c r="BF428" cm="1">
        <f t="array" ref="BF428">CORREL(J428:J1428,S428:S1428)</f>
        <v>-0.0390518634639234</v>
      </c>
      <c r="BH428">
        <v>5</v>
      </c>
      <c r="BI428">
        <f t="shared" si="22"/>
        <v>0.8</v>
      </c>
      <c r="BJ428">
        <f t="shared" si="23"/>
        <v>6.25</v>
      </c>
    </row>
    <row r="429" spans="1:62">
      <c r="A429" s="1">
        <v>655399955</v>
      </c>
      <c r="B429">
        <v>18</v>
      </c>
      <c r="C429" t="s">
        <v>59</v>
      </c>
      <c r="D429" t="s">
        <v>74</v>
      </c>
      <c r="E429" t="s">
        <v>86</v>
      </c>
      <c r="F429" t="s">
        <v>75</v>
      </c>
      <c r="G429" t="s">
        <v>74</v>
      </c>
      <c r="H429" t="s">
        <v>583</v>
      </c>
      <c r="I429" t="s">
        <v>147</v>
      </c>
      <c r="J429" s="2">
        <v>397.25</v>
      </c>
      <c r="K429">
        <v>6</v>
      </c>
      <c r="L429" t="s">
        <v>65</v>
      </c>
      <c r="M429">
        <v>5</v>
      </c>
      <c r="N429">
        <v>2</v>
      </c>
      <c r="O429">
        <v>1</v>
      </c>
      <c r="P429" t="s">
        <v>84</v>
      </c>
      <c r="Q429" t="s">
        <v>80</v>
      </c>
      <c r="R429">
        <v>1</v>
      </c>
      <c r="S429">
        <v>10</v>
      </c>
      <c r="T429" t="s">
        <v>66</v>
      </c>
      <c r="U429" t="s">
        <v>105</v>
      </c>
      <c r="V429" t="s">
        <v>110</v>
      </c>
      <c r="W429" s="3">
        <v>45512</v>
      </c>
      <c r="X429" t="b">
        <v>0</v>
      </c>
      <c r="Y429" t="b">
        <v>1</v>
      </c>
      <c r="Z429" t="s">
        <v>82</v>
      </c>
      <c r="AA429" t="s">
        <v>71</v>
      </c>
      <c r="AB429">
        <v>2</v>
      </c>
      <c r="AO429" t="str">
        <f t="shared" si="24"/>
        <v>18-25</v>
      </c>
      <c r="BD429">
        <v>6</v>
      </c>
      <c r="BF429" cm="1">
        <f t="array" ref="BF429">CORREL(J429:J1429,S429:S1429)</f>
        <v>-0.039004832677302</v>
      </c>
      <c r="BH429">
        <v>10</v>
      </c>
      <c r="BI429">
        <f t="shared" si="22"/>
        <v>0.6</v>
      </c>
      <c r="BJ429">
        <f t="shared" si="23"/>
        <v>16.6666666666667</v>
      </c>
    </row>
    <row r="430" spans="1:62">
      <c r="A430" s="1">
        <v>897301134</v>
      </c>
      <c r="B430">
        <v>46</v>
      </c>
      <c r="C430" t="s">
        <v>73</v>
      </c>
      <c r="D430" t="s">
        <v>60</v>
      </c>
      <c r="E430" t="s">
        <v>103</v>
      </c>
      <c r="F430" t="s">
        <v>75</v>
      </c>
      <c r="G430" t="s">
        <v>60</v>
      </c>
      <c r="H430" t="s">
        <v>584</v>
      </c>
      <c r="I430" t="s">
        <v>64</v>
      </c>
      <c r="J430" s="2">
        <v>96.18</v>
      </c>
      <c r="K430">
        <v>3</v>
      </c>
      <c r="L430" t="s">
        <v>65</v>
      </c>
      <c r="M430">
        <v>3</v>
      </c>
      <c r="N430">
        <v>4</v>
      </c>
      <c r="O430">
        <v>0</v>
      </c>
      <c r="P430" t="s">
        <v>66</v>
      </c>
      <c r="Q430" t="s">
        <v>67</v>
      </c>
      <c r="R430">
        <v>1</v>
      </c>
      <c r="S430">
        <v>9</v>
      </c>
      <c r="T430" t="s">
        <v>79</v>
      </c>
      <c r="U430" t="s">
        <v>90</v>
      </c>
      <c r="V430" t="s">
        <v>110</v>
      </c>
      <c r="W430" s="3">
        <v>45417</v>
      </c>
      <c r="X430" t="b">
        <v>0</v>
      </c>
      <c r="Y430" t="b">
        <v>0</v>
      </c>
      <c r="Z430" t="s">
        <v>102</v>
      </c>
      <c r="AA430" t="s">
        <v>97</v>
      </c>
      <c r="AB430">
        <v>10</v>
      </c>
      <c r="AO430" t="str">
        <f t="shared" si="24"/>
        <v>41-60</v>
      </c>
      <c r="BD430">
        <v>3</v>
      </c>
      <c r="BF430" cm="1">
        <f t="array" ref="BF430">CORREL(J430:J1430,S430:S1430)</f>
        <v>-0.0417215229348891</v>
      </c>
      <c r="BH430">
        <v>9</v>
      </c>
      <c r="BI430">
        <f t="shared" si="22"/>
        <v>0.333333333333333</v>
      </c>
      <c r="BJ430">
        <f t="shared" si="23"/>
        <v>27</v>
      </c>
    </row>
    <row r="431" spans="1:62">
      <c r="A431" s="1">
        <v>740517865</v>
      </c>
      <c r="B431">
        <v>19</v>
      </c>
      <c r="C431" t="s">
        <v>59</v>
      </c>
      <c r="D431" t="s">
        <v>74</v>
      </c>
      <c r="E431" t="s">
        <v>103</v>
      </c>
      <c r="F431" t="s">
        <v>62</v>
      </c>
      <c r="G431" t="s">
        <v>74</v>
      </c>
      <c r="H431" t="s">
        <v>585</v>
      </c>
      <c r="I431" t="s">
        <v>135</v>
      </c>
      <c r="J431" s="2">
        <v>390.44</v>
      </c>
      <c r="K431">
        <v>4</v>
      </c>
      <c r="L431" t="s">
        <v>65</v>
      </c>
      <c r="M431">
        <v>5</v>
      </c>
      <c r="N431">
        <v>1</v>
      </c>
      <c r="O431">
        <v>0</v>
      </c>
      <c r="P431" t="s">
        <v>79</v>
      </c>
      <c r="Q431" t="s">
        <v>109</v>
      </c>
      <c r="R431">
        <v>0</v>
      </c>
      <c r="S431">
        <v>4</v>
      </c>
      <c r="T431" t="s">
        <v>74</v>
      </c>
      <c r="U431" t="s">
        <v>105</v>
      </c>
      <c r="V431" t="s">
        <v>96</v>
      </c>
      <c r="W431" s="3">
        <v>45337</v>
      </c>
      <c r="X431" t="b">
        <v>1</v>
      </c>
      <c r="Y431" t="b">
        <v>0</v>
      </c>
      <c r="Z431" t="s">
        <v>70</v>
      </c>
      <c r="AA431" t="s">
        <v>83</v>
      </c>
      <c r="AB431">
        <v>4</v>
      </c>
      <c r="AO431" t="str">
        <f t="shared" si="24"/>
        <v>18-25</v>
      </c>
      <c r="BD431">
        <v>4</v>
      </c>
      <c r="BF431" cm="1">
        <f t="array" ref="BF431">CORREL(J431:J1431,S431:S1431)</f>
        <v>-0.0387600601664552</v>
      </c>
      <c r="BH431">
        <v>4</v>
      </c>
      <c r="BI431">
        <f t="shared" si="22"/>
        <v>1</v>
      </c>
      <c r="BJ431">
        <f t="shared" si="23"/>
        <v>4</v>
      </c>
    </row>
    <row r="432" spans="1:62">
      <c r="A432" s="1">
        <v>404504266</v>
      </c>
      <c r="B432">
        <v>37</v>
      </c>
      <c r="C432" t="s">
        <v>59</v>
      </c>
      <c r="D432" t="s">
        <v>60</v>
      </c>
      <c r="E432" t="s">
        <v>86</v>
      </c>
      <c r="F432" t="s">
        <v>62</v>
      </c>
      <c r="G432" t="s">
        <v>60</v>
      </c>
      <c r="H432" t="s">
        <v>586</v>
      </c>
      <c r="I432" t="s">
        <v>122</v>
      </c>
      <c r="J432" s="2">
        <v>61.5</v>
      </c>
      <c r="K432">
        <v>11</v>
      </c>
      <c r="L432" t="s">
        <v>65</v>
      </c>
      <c r="M432">
        <v>4</v>
      </c>
      <c r="N432">
        <v>2</v>
      </c>
      <c r="O432">
        <v>0</v>
      </c>
      <c r="P432" t="s">
        <v>79</v>
      </c>
      <c r="Q432" t="s">
        <v>109</v>
      </c>
      <c r="R432">
        <v>0</v>
      </c>
      <c r="S432">
        <v>1</v>
      </c>
      <c r="T432" t="s">
        <v>74</v>
      </c>
      <c r="U432" t="s">
        <v>90</v>
      </c>
      <c r="V432" t="s">
        <v>96</v>
      </c>
      <c r="W432" s="3">
        <v>45317</v>
      </c>
      <c r="X432" t="b">
        <v>1</v>
      </c>
      <c r="Y432" t="b">
        <v>1</v>
      </c>
      <c r="Z432" t="s">
        <v>102</v>
      </c>
      <c r="AA432" t="s">
        <v>97</v>
      </c>
      <c r="AB432">
        <v>8</v>
      </c>
      <c r="AO432" t="str">
        <f t="shared" si="24"/>
        <v>26-40</v>
      </c>
      <c r="BD432">
        <v>11</v>
      </c>
      <c r="BF432" cm="1">
        <f t="array" ref="BF432">CORREL(J432:J1432,S432:S1432)</f>
        <v>-0.0380282517734293</v>
      </c>
      <c r="BH432">
        <v>1</v>
      </c>
      <c r="BI432">
        <f t="shared" si="22"/>
        <v>11</v>
      </c>
      <c r="BJ432">
        <f t="shared" si="23"/>
        <v>0.0909090909090909</v>
      </c>
    </row>
    <row r="433" spans="1:62">
      <c r="A433" s="1">
        <v>787965651</v>
      </c>
      <c r="B433">
        <v>35</v>
      </c>
      <c r="C433" t="s">
        <v>59</v>
      </c>
      <c r="D433" t="s">
        <v>60</v>
      </c>
      <c r="E433" t="s">
        <v>103</v>
      </c>
      <c r="F433" t="s">
        <v>75</v>
      </c>
      <c r="G433" t="s">
        <v>74</v>
      </c>
      <c r="H433" t="s">
        <v>587</v>
      </c>
      <c r="I433" t="s">
        <v>89</v>
      </c>
      <c r="J433" s="2">
        <v>234.44</v>
      </c>
      <c r="K433">
        <v>6</v>
      </c>
      <c r="L433" t="s">
        <v>78</v>
      </c>
      <c r="M433">
        <v>3</v>
      </c>
      <c r="N433">
        <v>5</v>
      </c>
      <c r="O433">
        <v>2</v>
      </c>
      <c r="P433" t="s">
        <v>79</v>
      </c>
      <c r="Q433" t="s">
        <v>109</v>
      </c>
      <c r="R433">
        <v>0</v>
      </c>
      <c r="S433">
        <v>1</v>
      </c>
      <c r="T433" t="s">
        <v>74</v>
      </c>
      <c r="U433" t="s">
        <v>105</v>
      </c>
      <c r="V433" t="s">
        <v>96</v>
      </c>
      <c r="W433" s="3">
        <v>45435</v>
      </c>
      <c r="X433" t="b">
        <v>0</v>
      </c>
      <c r="Y433" t="b">
        <v>1</v>
      </c>
      <c r="Z433" t="s">
        <v>92</v>
      </c>
      <c r="AA433" t="s">
        <v>97</v>
      </c>
      <c r="AB433">
        <v>5</v>
      </c>
      <c r="AO433" t="str">
        <f t="shared" si="24"/>
        <v>26-40</v>
      </c>
      <c r="BD433">
        <v>6</v>
      </c>
      <c r="BF433" cm="1">
        <f t="array" ref="BF433">CORREL(J433:J1433,S433:S1433)</f>
        <v>-0.0427915866882969</v>
      </c>
      <c r="BH433">
        <v>1</v>
      </c>
      <c r="BI433">
        <f t="shared" si="22"/>
        <v>6</v>
      </c>
      <c r="BJ433">
        <f t="shared" si="23"/>
        <v>0.166666666666667</v>
      </c>
    </row>
    <row r="434" spans="1:62">
      <c r="A434" s="1">
        <v>781634800</v>
      </c>
      <c r="B434">
        <v>43</v>
      </c>
      <c r="C434" t="s">
        <v>73</v>
      </c>
      <c r="D434" t="s">
        <v>60</v>
      </c>
      <c r="E434" t="s">
        <v>86</v>
      </c>
      <c r="F434" t="s">
        <v>87</v>
      </c>
      <c r="G434" t="s">
        <v>60</v>
      </c>
      <c r="H434" t="s">
        <v>588</v>
      </c>
      <c r="I434" t="s">
        <v>137</v>
      </c>
      <c r="J434" s="2">
        <v>318.84</v>
      </c>
      <c r="K434">
        <v>6</v>
      </c>
      <c r="L434" t="s">
        <v>85</v>
      </c>
      <c r="M434">
        <v>1</v>
      </c>
      <c r="N434">
        <v>1</v>
      </c>
      <c r="O434">
        <v>2</v>
      </c>
      <c r="P434" t="s">
        <v>84</v>
      </c>
      <c r="Q434" t="s">
        <v>109</v>
      </c>
      <c r="R434">
        <v>0</v>
      </c>
      <c r="S434">
        <v>4</v>
      </c>
      <c r="T434" t="s">
        <v>74</v>
      </c>
      <c r="U434" t="s">
        <v>68</v>
      </c>
      <c r="V434" t="s">
        <v>96</v>
      </c>
      <c r="W434" s="3">
        <v>45402</v>
      </c>
      <c r="X434" t="b">
        <v>0</v>
      </c>
      <c r="Y434" t="b">
        <v>1</v>
      </c>
      <c r="Z434" t="s">
        <v>82</v>
      </c>
      <c r="AA434" t="s">
        <v>83</v>
      </c>
      <c r="AB434">
        <v>10</v>
      </c>
      <c r="AO434" t="str">
        <f t="shared" si="24"/>
        <v>41-60</v>
      </c>
      <c r="BD434">
        <v>6</v>
      </c>
      <c r="BF434" cm="1">
        <f t="array" ref="BF434">CORREL(J434:J1434,S434:S1434)</f>
        <v>-0.0438193689253936</v>
      </c>
      <c r="BH434">
        <v>4</v>
      </c>
      <c r="BI434">
        <f t="shared" si="22"/>
        <v>1.5</v>
      </c>
      <c r="BJ434">
        <f t="shared" si="23"/>
        <v>2.66666666666667</v>
      </c>
    </row>
    <row r="435" spans="1:62">
      <c r="A435" s="1">
        <v>902725701</v>
      </c>
      <c r="B435">
        <v>28</v>
      </c>
      <c r="C435" t="s">
        <v>73</v>
      </c>
      <c r="D435" t="s">
        <v>60</v>
      </c>
      <c r="E435" t="s">
        <v>86</v>
      </c>
      <c r="F435" t="s">
        <v>87</v>
      </c>
      <c r="G435" t="s">
        <v>74</v>
      </c>
      <c r="H435" t="s">
        <v>589</v>
      </c>
      <c r="I435" t="s">
        <v>137</v>
      </c>
      <c r="J435" s="2">
        <v>327.32</v>
      </c>
      <c r="K435">
        <v>6</v>
      </c>
      <c r="L435" t="s">
        <v>65</v>
      </c>
      <c r="M435">
        <v>4</v>
      </c>
      <c r="N435">
        <v>5</v>
      </c>
      <c r="O435">
        <v>0</v>
      </c>
      <c r="P435" t="s">
        <v>66</v>
      </c>
      <c r="Q435" t="s">
        <v>67</v>
      </c>
      <c r="R435">
        <v>0</v>
      </c>
      <c r="S435">
        <v>4</v>
      </c>
      <c r="T435" t="s">
        <v>74</v>
      </c>
      <c r="U435" t="s">
        <v>68</v>
      </c>
      <c r="V435" t="s">
        <v>96</v>
      </c>
      <c r="W435" s="3">
        <v>45452</v>
      </c>
      <c r="X435" t="b">
        <v>1</v>
      </c>
      <c r="Y435" t="b">
        <v>1</v>
      </c>
      <c r="Z435" t="s">
        <v>92</v>
      </c>
      <c r="AA435" t="s">
        <v>97</v>
      </c>
      <c r="AB435">
        <v>13</v>
      </c>
      <c r="AO435" t="str">
        <f t="shared" si="24"/>
        <v>26-40</v>
      </c>
      <c r="BD435">
        <v>6</v>
      </c>
      <c r="BF435" cm="1">
        <f t="array" ref="BF435">CORREL(J435:J1435,S435:S1435)</f>
        <v>-0.0435506042334507</v>
      </c>
      <c r="BH435">
        <v>4</v>
      </c>
      <c r="BI435">
        <f t="shared" si="22"/>
        <v>1.5</v>
      </c>
      <c r="BJ435">
        <f t="shared" si="23"/>
        <v>2.66666666666667</v>
      </c>
    </row>
    <row r="436" spans="1:62">
      <c r="A436" s="1">
        <v>141185229</v>
      </c>
      <c r="B436">
        <v>25</v>
      </c>
      <c r="C436" t="s">
        <v>73</v>
      </c>
      <c r="D436" t="s">
        <v>60</v>
      </c>
      <c r="E436" t="s">
        <v>103</v>
      </c>
      <c r="F436" t="s">
        <v>87</v>
      </c>
      <c r="G436" t="s">
        <v>74</v>
      </c>
      <c r="H436" t="s">
        <v>590</v>
      </c>
      <c r="I436" t="s">
        <v>107</v>
      </c>
      <c r="J436" s="2">
        <v>475.64</v>
      </c>
      <c r="K436">
        <v>3</v>
      </c>
      <c r="L436" t="s">
        <v>85</v>
      </c>
      <c r="M436">
        <v>3</v>
      </c>
      <c r="N436">
        <v>4</v>
      </c>
      <c r="O436">
        <v>1</v>
      </c>
      <c r="P436" t="s">
        <v>84</v>
      </c>
      <c r="Q436" t="s">
        <v>109</v>
      </c>
      <c r="R436">
        <v>1</v>
      </c>
      <c r="S436">
        <v>2</v>
      </c>
      <c r="T436" t="s">
        <v>79</v>
      </c>
      <c r="U436" t="s">
        <v>90</v>
      </c>
      <c r="V436" t="s">
        <v>81</v>
      </c>
      <c r="W436" s="3">
        <v>45337</v>
      </c>
      <c r="X436" t="b">
        <v>1</v>
      </c>
      <c r="Y436" t="b">
        <v>1</v>
      </c>
      <c r="Z436" t="s">
        <v>102</v>
      </c>
      <c r="AA436" t="s">
        <v>83</v>
      </c>
      <c r="AB436">
        <v>9</v>
      </c>
      <c r="AO436" t="str">
        <f t="shared" si="24"/>
        <v>18-25</v>
      </c>
      <c r="BD436">
        <v>3</v>
      </c>
      <c r="BF436" cm="1">
        <f t="array" ref="BF436">CORREL(J436:J1436,S436:S1436)</f>
        <v>-0.0432235006110684</v>
      </c>
      <c r="BH436">
        <v>2</v>
      </c>
      <c r="BI436">
        <f t="shared" si="22"/>
        <v>1.5</v>
      </c>
      <c r="BJ436">
        <f t="shared" si="23"/>
        <v>1.33333333333333</v>
      </c>
    </row>
    <row r="437" spans="1:62">
      <c r="A437" s="1">
        <v>246622119</v>
      </c>
      <c r="B437">
        <v>47</v>
      </c>
      <c r="C437" t="s">
        <v>73</v>
      </c>
      <c r="D437" t="s">
        <v>74</v>
      </c>
      <c r="E437" t="s">
        <v>98</v>
      </c>
      <c r="F437" t="s">
        <v>87</v>
      </c>
      <c r="G437" t="s">
        <v>60</v>
      </c>
      <c r="H437" t="s">
        <v>591</v>
      </c>
      <c r="I437" t="s">
        <v>124</v>
      </c>
      <c r="J437" s="2">
        <v>68.59</v>
      </c>
      <c r="K437">
        <v>9</v>
      </c>
      <c r="L437" t="s">
        <v>65</v>
      </c>
      <c r="M437">
        <v>3</v>
      </c>
      <c r="N437">
        <v>4</v>
      </c>
      <c r="O437">
        <v>0</v>
      </c>
      <c r="P437" t="s">
        <v>79</v>
      </c>
      <c r="Q437" t="s">
        <v>67</v>
      </c>
      <c r="R437">
        <v>2</v>
      </c>
      <c r="S437">
        <v>5</v>
      </c>
      <c r="T437" t="s">
        <v>66</v>
      </c>
      <c r="U437" t="s">
        <v>90</v>
      </c>
      <c r="V437" t="s">
        <v>81</v>
      </c>
      <c r="W437" s="3">
        <v>45400</v>
      </c>
      <c r="X437" t="b">
        <v>0</v>
      </c>
      <c r="Y437" t="b">
        <v>1</v>
      </c>
      <c r="Z437" t="s">
        <v>82</v>
      </c>
      <c r="AA437" t="s">
        <v>83</v>
      </c>
      <c r="AB437">
        <v>5</v>
      </c>
      <c r="AO437" t="str">
        <f t="shared" si="24"/>
        <v>41-60</v>
      </c>
      <c r="BD437">
        <v>9</v>
      </c>
      <c r="BF437" cm="1">
        <f t="array" ref="BF437">CORREL(J437:J1437,S437:S1437)</f>
        <v>-0.0400771118732592</v>
      </c>
      <c r="BH437">
        <v>5</v>
      </c>
      <c r="BI437">
        <f t="shared" si="22"/>
        <v>1.8</v>
      </c>
      <c r="BJ437">
        <f t="shared" si="23"/>
        <v>2.77777777777778</v>
      </c>
    </row>
    <row r="438" spans="1:62">
      <c r="A438" s="1">
        <v>617948438</v>
      </c>
      <c r="B438">
        <v>45</v>
      </c>
      <c r="C438" t="s">
        <v>188</v>
      </c>
      <c r="D438" t="s">
        <v>60</v>
      </c>
      <c r="E438" t="s">
        <v>103</v>
      </c>
      <c r="F438" t="s">
        <v>62</v>
      </c>
      <c r="G438" t="s">
        <v>60</v>
      </c>
      <c r="H438" t="s">
        <v>592</v>
      </c>
      <c r="I438" t="s">
        <v>122</v>
      </c>
      <c r="J438" s="2">
        <v>133.04</v>
      </c>
      <c r="K438">
        <v>12</v>
      </c>
      <c r="L438" t="s">
        <v>85</v>
      </c>
      <c r="M438">
        <v>1</v>
      </c>
      <c r="N438">
        <v>3</v>
      </c>
      <c r="O438">
        <v>2</v>
      </c>
      <c r="P438" t="s">
        <v>74</v>
      </c>
      <c r="Q438" t="s">
        <v>80</v>
      </c>
      <c r="R438">
        <v>2</v>
      </c>
      <c r="S438">
        <v>6</v>
      </c>
      <c r="T438" t="s">
        <v>66</v>
      </c>
      <c r="U438" t="s">
        <v>105</v>
      </c>
      <c r="V438" t="s">
        <v>110</v>
      </c>
      <c r="W438" s="3">
        <v>45480</v>
      </c>
      <c r="X438" t="b">
        <v>1</v>
      </c>
      <c r="Y438" t="b">
        <v>1</v>
      </c>
      <c r="Z438" t="s">
        <v>92</v>
      </c>
      <c r="AA438" t="s">
        <v>83</v>
      </c>
      <c r="AB438">
        <v>11</v>
      </c>
      <c r="AO438" t="str">
        <f t="shared" si="24"/>
        <v>41-60</v>
      </c>
      <c r="BD438">
        <v>12</v>
      </c>
      <c r="BF438" cm="1">
        <f t="array" ref="BF438">CORREL(J438:J1438,S438:S1438)</f>
        <v>-0.0406240271456049</v>
      </c>
      <c r="BH438">
        <v>6</v>
      </c>
      <c r="BI438">
        <f t="shared" si="22"/>
        <v>2</v>
      </c>
      <c r="BJ438">
        <f t="shared" si="23"/>
        <v>3</v>
      </c>
    </row>
    <row r="439" spans="1:62">
      <c r="A439" s="1">
        <v>219595766</v>
      </c>
      <c r="B439">
        <v>24</v>
      </c>
      <c r="C439" t="s">
        <v>175</v>
      </c>
      <c r="D439" t="s">
        <v>74</v>
      </c>
      <c r="E439" t="s">
        <v>61</v>
      </c>
      <c r="F439" t="s">
        <v>75</v>
      </c>
      <c r="G439" t="s">
        <v>60</v>
      </c>
      <c r="H439" t="s">
        <v>593</v>
      </c>
      <c r="I439" t="s">
        <v>118</v>
      </c>
      <c r="J439" s="2">
        <v>196.63</v>
      </c>
      <c r="K439">
        <v>9</v>
      </c>
      <c r="L439" t="s">
        <v>85</v>
      </c>
      <c r="M439">
        <v>4</v>
      </c>
      <c r="N439">
        <v>2</v>
      </c>
      <c r="O439">
        <v>2</v>
      </c>
      <c r="P439" t="s">
        <v>79</v>
      </c>
      <c r="Q439" t="s">
        <v>67</v>
      </c>
      <c r="R439">
        <v>1</v>
      </c>
      <c r="S439">
        <v>6</v>
      </c>
      <c r="T439" t="s">
        <v>84</v>
      </c>
      <c r="U439" t="s">
        <v>68</v>
      </c>
      <c r="V439" t="s">
        <v>96</v>
      </c>
      <c r="W439" s="3">
        <v>45641</v>
      </c>
      <c r="X439" t="b">
        <v>1</v>
      </c>
      <c r="Y439" t="b">
        <v>0</v>
      </c>
      <c r="Z439" t="s">
        <v>70</v>
      </c>
      <c r="AA439" t="s">
        <v>71</v>
      </c>
      <c r="AB439">
        <v>7</v>
      </c>
      <c r="AO439" t="str">
        <f t="shared" si="24"/>
        <v>18-25</v>
      </c>
      <c r="BD439">
        <v>9</v>
      </c>
      <c r="BF439" cm="1">
        <f t="array" ref="BF439">CORREL(J439:J1439,S439:S1439)</f>
        <v>-0.0402844878286895</v>
      </c>
      <c r="BH439">
        <v>6</v>
      </c>
      <c r="BI439">
        <f t="shared" si="22"/>
        <v>1.5</v>
      </c>
      <c r="BJ439">
        <f t="shared" si="23"/>
        <v>4</v>
      </c>
    </row>
    <row r="440" spans="1:62">
      <c r="A440" s="1">
        <v>425182602</v>
      </c>
      <c r="B440">
        <v>30</v>
      </c>
      <c r="C440" t="s">
        <v>73</v>
      </c>
      <c r="D440" t="s">
        <v>60</v>
      </c>
      <c r="E440" t="s">
        <v>103</v>
      </c>
      <c r="F440" t="s">
        <v>62</v>
      </c>
      <c r="G440" t="s">
        <v>74</v>
      </c>
      <c r="H440" t="s">
        <v>594</v>
      </c>
      <c r="I440" t="s">
        <v>95</v>
      </c>
      <c r="J440" s="2">
        <v>473.96</v>
      </c>
      <c r="K440">
        <v>12</v>
      </c>
      <c r="L440" t="s">
        <v>78</v>
      </c>
      <c r="M440">
        <v>2</v>
      </c>
      <c r="N440">
        <v>1</v>
      </c>
      <c r="O440">
        <v>1</v>
      </c>
      <c r="P440" t="s">
        <v>79</v>
      </c>
      <c r="Q440" t="s">
        <v>67</v>
      </c>
      <c r="R440">
        <v>2</v>
      </c>
      <c r="S440">
        <v>9</v>
      </c>
      <c r="T440" t="s">
        <v>66</v>
      </c>
      <c r="U440" t="s">
        <v>68</v>
      </c>
      <c r="V440" t="s">
        <v>81</v>
      </c>
      <c r="W440" s="3">
        <v>45501</v>
      </c>
      <c r="X440" t="b">
        <v>1</v>
      </c>
      <c r="Y440" t="b">
        <v>0</v>
      </c>
      <c r="Z440" t="s">
        <v>92</v>
      </c>
      <c r="AA440" t="s">
        <v>97</v>
      </c>
      <c r="AB440">
        <v>14</v>
      </c>
      <c r="AO440" t="str">
        <f t="shared" si="24"/>
        <v>26-40</v>
      </c>
      <c r="BD440">
        <v>12</v>
      </c>
      <c r="BF440" cm="1">
        <f t="array" ref="BF440">CORREL(J440:J1440,S440:S1440)</f>
        <v>-0.0400826846886932</v>
      </c>
      <c r="BH440">
        <v>9</v>
      </c>
      <c r="BI440">
        <f t="shared" si="22"/>
        <v>1.33333333333333</v>
      </c>
      <c r="BJ440">
        <f t="shared" si="23"/>
        <v>6.75</v>
      </c>
    </row>
    <row r="441" spans="1:62">
      <c r="A441" s="1">
        <v>358508676</v>
      </c>
      <c r="B441">
        <v>24</v>
      </c>
      <c r="C441" t="s">
        <v>59</v>
      </c>
      <c r="D441" t="s">
        <v>74</v>
      </c>
      <c r="E441" t="s">
        <v>61</v>
      </c>
      <c r="F441" t="s">
        <v>75</v>
      </c>
      <c r="G441" t="s">
        <v>60</v>
      </c>
      <c r="H441" t="s">
        <v>595</v>
      </c>
      <c r="I441" t="s">
        <v>118</v>
      </c>
      <c r="J441" s="2">
        <v>472.52</v>
      </c>
      <c r="K441">
        <v>8</v>
      </c>
      <c r="L441" t="s">
        <v>85</v>
      </c>
      <c r="M441">
        <v>2</v>
      </c>
      <c r="N441">
        <v>4</v>
      </c>
      <c r="O441">
        <v>0</v>
      </c>
      <c r="P441" t="s">
        <v>84</v>
      </c>
      <c r="Q441" t="s">
        <v>67</v>
      </c>
      <c r="R441">
        <v>2</v>
      </c>
      <c r="S441">
        <v>8</v>
      </c>
      <c r="T441" t="s">
        <v>79</v>
      </c>
      <c r="U441" t="s">
        <v>68</v>
      </c>
      <c r="V441" t="s">
        <v>110</v>
      </c>
      <c r="W441" s="3">
        <v>45315</v>
      </c>
      <c r="X441" t="b">
        <v>0</v>
      </c>
      <c r="Y441" t="b">
        <v>1</v>
      </c>
      <c r="Z441" t="s">
        <v>102</v>
      </c>
      <c r="AA441" t="s">
        <v>71</v>
      </c>
      <c r="AB441">
        <v>14</v>
      </c>
      <c r="AO441" t="str">
        <f t="shared" si="24"/>
        <v>18-25</v>
      </c>
      <c r="BD441">
        <v>8</v>
      </c>
      <c r="BF441" cm="1">
        <f t="array" ref="BF441">CORREL(J441:J1441,S441:S1441)</f>
        <v>-0.0435990074400599</v>
      </c>
      <c r="BH441">
        <v>8</v>
      </c>
      <c r="BI441">
        <f t="shared" si="22"/>
        <v>1</v>
      </c>
      <c r="BJ441">
        <f t="shared" si="23"/>
        <v>8</v>
      </c>
    </row>
    <row r="442" spans="1:62">
      <c r="A442" s="4" t="s">
        <v>596</v>
      </c>
      <c r="B442">
        <v>27</v>
      </c>
      <c r="C442" t="s">
        <v>59</v>
      </c>
      <c r="D442" t="s">
        <v>60</v>
      </c>
      <c r="E442" t="s">
        <v>61</v>
      </c>
      <c r="F442" t="s">
        <v>62</v>
      </c>
      <c r="G442" t="s">
        <v>60</v>
      </c>
      <c r="H442" t="s">
        <v>597</v>
      </c>
      <c r="I442" t="s">
        <v>135</v>
      </c>
      <c r="J442" s="2">
        <v>335.8</v>
      </c>
      <c r="K442">
        <v>9</v>
      </c>
      <c r="L442" t="s">
        <v>65</v>
      </c>
      <c r="M442">
        <v>3</v>
      </c>
      <c r="N442">
        <v>5</v>
      </c>
      <c r="O442">
        <v>1</v>
      </c>
      <c r="P442" t="s">
        <v>66</v>
      </c>
      <c r="Q442" t="s">
        <v>67</v>
      </c>
      <c r="R442">
        <v>2</v>
      </c>
      <c r="S442">
        <v>7</v>
      </c>
      <c r="T442" t="s">
        <v>84</v>
      </c>
      <c r="U442" t="s">
        <v>90</v>
      </c>
      <c r="V442" t="s">
        <v>91</v>
      </c>
      <c r="W442" s="3">
        <v>45332</v>
      </c>
      <c r="X442" t="b">
        <v>1</v>
      </c>
      <c r="Y442" t="b">
        <v>0</v>
      </c>
      <c r="Z442" t="s">
        <v>82</v>
      </c>
      <c r="AA442" t="s">
        <v>83</v>
      </c>
      <c r="AB442">
        <v>5</v>
      </c>
      <c r="AO442" t="str">
        <f t="shared" si="24"/>
        <v>26-40</v>
      </c>
      <c r="BD442">
        <v>9</v>
      </c>
      <c r="BF442" cm="1">
        <f t="array" ref="BF442">CORREL(J442:J1442,S442:S1442)</f>
        <v>-0.0461434518590932</v>
      </c>
      <c r="BH442">
        <v>7</v>
      </c>
      <c r="BI442">
        <f t="shared" si="22"/>
        <v>1.28571428571429</v>
      </c>
      <c r="BJ442">
        <f t="shared" si="23"/>
        <v>5.44444444444444</v>
      </c>
    </row>
    <row r="443" spans="1:62">
      <c r="A443" s="1">
        <v>785030416</v>
      </c>
      <c r="B443">
        <v>25</v>
      </c>
      <c r="C443" t="s">
        <v>73</v>
      </c>
      <c r="D443" t="s">
        <v>60</v>
      </c>
      <c r="E443" t="s">
        <v>86</v>
      </c>
      <c r="F443" t="s">
        <v>75</v>
      </c>
      <c r="G443" t="s">
        <v>74</v>
      </c>
      <c r="H443" t="s">
        <v>598</v>
      </c>
      <c r="I443" t="s">
        <v>118</v>
      </c>
      <c r="J443" s="2">
        <v>85.57</v>
      </c>
      <c r="K443">
        <v>12</v>
      </c>
      <c r="L443" t="s">
        <v>78</v>
      </c>
      <c r="M443">
        <v>2</v>
      </c>
      <c r="N443">
        <v>1</v>
      </c>
      <c r="O443">
        <v>1</v>
      </c>
      <c r="P443" t="s">
        <v>84</v>
      </c>
      <c r="Q443" t="s">
        <v>109</v>
      </c>
      <c r="R443">
        <v>2</v>
      </c>
      <c r="S443">
        <v>4</v>
      </c>
      <c r="T443" t="s">
        <v>79</v>
      </c>
      <c r="U443" t="s">
        <v>68</v>
      </c>
      <c r="V443" t="s">
        <v>91</v>
      </c>
      <c r="W443" s="3">
        <v>45535</v>
      </c>
      <c r="X443" t="b">
        <v>1</v>
      </c>
      <c r="Y443" t="b">
        <v>1</v>
      </c>
      <c r="Z443" t="s">
        <v>102</v>
      </c>
      <c r="AA443" t="s">
        <v>71</v>
      </c>
      <c r="AB443">
        <v>9</v>
      </c>
      <c r="AO443" t="str">
        <f t="shared" si="24"/>
        <v>18-25</v>
      </c>
      <c r="BD443">
        <v>12</v>
      </c>
      <c r="BF443" cm="1">
        <f t="array" ref="BF443">CORREL(J443:J1443,S443:S1443)</f>
        <v>-0.0466078107749038</v>
      </c>
      <c r="BH443">
        <v>4</v>
      </c>
      <c r="BI443">
        <f t="shared" si="22"/>
        <v>3</v>
      </c>
      <c r="BJ443">
        <f t="shared" si="23"/>
        <v>1.33333333333333</v>
      </c>
    </row>
    <row r="444" spans="1:62">
      <c r="A444" s="1">
        <v>461677999</v>
      </c>
      <c r="B444">
        <v>44</v>
      </c>
      <c r="C444" t="s">
        <v>111</v>
      </c>
      <c r="D444" t="s">
        <v>60</v>
      </c>
      <c r="E444" t="s">
        <v>86</v>
      </c>
      <c r="F444" t="s">
        <v>87</v>
      </c>
      <c r="G444" t="s">
        <v>60</v>
      </c>
      <c r="H444" t="s">
        <v>599</v>
      </c>
      <c r="I444" t="s">
        <v>174</v>
      </c>
      <c r="J444" s="2">
        <v>108.5</v>
      </c>
      <c r="K444">
        <v>11</v>
      </c>
      <c r="L444" t="s">
        <v>65</v>
      </c>
      <c r="M444">
        <v>5</v>
      </c>
      <c r="N444">
        <v>5</v>
      </c>
      <c r="O444">
        <v>0</v>
      </c>
      <c r="P444" t="s">
        <v>66</v>
      </c>
      <c r="Q444" t="s">
        <v>109</v>
      </c>
      <c r="R444">
        <v>1</v>
      </c>
      <c r="S444">
        <v>2</v>
      </c>
      <c r="T444" t="s">
        <v>79</v>
      </c>
      <c r="U444" t="s">
        <v>90</v>
      </c>
      <c r="V444" t="s">
        <v>81</v>
      </c>
      <c r="W444" s="3">
        <v>45489</v>
      </c>
      <c r="X444" t="b">
        <v>0</v>
      </c>
      <c r="Y444" t="b">
        <v>0</v>
      </c>
      <c r="Z444" t="s">
        <v>82</v>
      </c>
      <c r="AA444" t="s">
        <v>71</v>
      </c>
      <c r="AB444">
        <v>10</v>
      </c>
      <c r="AO444" t="str">
        <f t="shared" si="24"/>
        <v>41-60</v>
      </c>
      <c r="BD444">
        <v>11</v>
      </c>
      <c r="BF444" cm="1">
        <f t="array" ref="BF444">CORREL(J444:J1444,S444:S1444)</f>
        <v>-0.0480564881896259</v>
      </c>
      <c r="BH444">
        <v>2</v>
      </c>
      <c r="BI444">
        <f t="shared" si="22"/>
        <v>5.5</v>
      </c>
      <c r="BJ444">
        <f t="shared" si="23"/>
        <v>0.363636363636364</v>
      </c>
    </row>
    <row r="445" spans="1:62">
      <c r="A445" s="1">
        <v>939898649</v>
      </c>
      <c r="B445">
        <v>26</v>
      </c>
      <c r="C445" t="s">
        <v>73</v>
      </c>
      <c r="D445" t="s">
        <v>60</v>
      </c>
      <c r="E445" t="s">
        <v>103</v>
      </c>
      <c r="F445" t="s">
        <v>62</v>
      </c>
      <c r="G445" t="s">
        <v>60</v>
      </c>
      <c r="H445" t="s">
        <v>600</v>
      </c>
      <c r="I445" t="s">
        <v>77</v>
      </c>
      <c r="J445" s="2">
        <v>172.5</v>
      </c>
      <c r="K445">
        <v>8</v>
      </c>
      <c r="L445" t="s">
        <v>85</v>
      </c>
      <c r="M445">
        <v>1</v>
      </c>
      <c r="N445">
        <v>3</v>
      </c>
      <c r="O445">
        <v>0</v>
      </c>
      <c r="P445" t="s">
        <v>79</v>
      </c>
      <c r="Q445" t="s">
        <v>67</v>
      </c>
      <c r="R445">
        <v>0</v>
      </c>
      <c r="S445">
        <v>8</v>
      </c>
      <c r="T445" t="s">
        <v>84</v>
      </c>
      <c r="U445" t="s">
        <v>105</v>
      </c>
      <c r="V445" t="s">
        <v>69</v>
      </c>
      <c r="W445" s="3">
        <v>45492</v>
      </c>
      <c r="X445" t="b">
        <v>1</v>
      </c>
      <c r="Y445" t="b">
        <v>0</v>
      </c>
      <c r="Z445" t="s">
        <v>92</v>
      </c>
      <c r="AA445" t="s">
        <v>71</v>
      </c>
      <c r="AB445">
        <v>7</v>
      </c>
      <c r="AO445" t="str">
        <f t="shared" si="24"/>
        <v>26-40</v>
      </c>
      <c r="BD445">
        <v>8</v>
      </c>
      <c r="BF445" cm="1">
        <f t="array" ref="BF445">CORREL(J445:J1445,S445:S1445)</f>
        <v>-0.0510504812511383</v>
      </c>
      <c r="BH445">
        <v>8</v>
      </c>
      <c r="BI445">
        <f t="shared" si="22"/>
        <v>1</v>
      </c>
      <c r="BJ445">
        <f t="shared" si="23"/>
        <v>8</v>
      </c>
    </row>
    <row r="446" spans="1:62">
      <c r="A446" s="1">
        <v>981308811</v>
      </c>
      <c r="B446">
        <v>18</v>
      </c>
      <c r="C446" t="s">
        <v>59</v>
      </c>
      <c r="D446" t="s">
        <v>74</v>
      </c>
      <c r="E446" t="s">
        <v>86</v>
      </c>
      <c r="F446" t="s">
        <v>75</v>
      </c>
      <c r="G446" t="s">
        <v>60</v>
      </c>
      <c r="H446" t="s">
        <v>601</v>
      </c>
      <c r="I446" t="s">
        <v>131</v>
      </c>
      <c r="J446" s="2">
        <v>212.8</v>
      </c>
      <c r="K446">
        <v>6</v>
      </c>
      <c r="L446" t="s">
        <v>65</v>
      </c>
      <c r="M446">
        <v>3</v>
      </c>
      <c r="N446">
        <v>2</v>
      </c>
      <c r="O446">
        <v>2</v>
      </c>
      <c r="P446" t="s">
        <v>66</v>
      </c>
      <c r="Q446" t="s">
        <v>109</v>
      </c>
      <c r="R446">
        <v>1</v>
      </c>
      <c r="S446">
        <v>7</v>
      </c>
      <c r="T446" t="s">
        <v>74</v>
      </c>
      <c r="U446" t="s">
        <v>68</v>
      </c>
      <c r="V446" t="s">
        <v>69</v>
      </c>
      <c r="W446" s="3">
        <v>45429</v>
      </c>
      <c r="X446" t="b">
        <v>1</v>
      </c>
      <c r="Y446" t="b">
        <v>1</v>
      </c>
      <c r="Z446" t="s">
        <v>102</v>
      </c>
      <c r="AA446" t="s">
        <v>83</v>
      </c>
      <c r="AB446">
        <v>1</v>
      </c>
      <c r="AO446" t="str">
        <f t="shared" si="24"/>
        <v>18-25</v>
      </c>
      <c r="BD446">
        <v>6</v>
      </c>
      <c r="BF446" cm="1">
        <f t="array" ref="BF446">CORREL(J446:J1446,S446:S1446)</f>
        <v>-0.0497931037347931</v>
      </c>
      <c r="BH446">
        <v>7</v>
      </c>
      <c r="BI446">
        <f t="shared" si="22"/>
        <v>0.857142857142857</v>
      </c>
      <c r="BJ446">
        <f t="shared" si="23"/>
        <v>8.16666666666667</v>
      </c>
    </row>
    <row r="447" spans="1:62">
      <c r="A447" s="1">
        <v>186142070</v>
      </c>
      <c r="B447">
        <v>47</v>
      </c>
      <c r="C447" t="s">
        <v>59</v>
      </c>
      <c r="D447" t="s">
        <v>60</v>
      </c>
      <c r="E447" t="s">
        <v>61</v>
      </c>
      <c r="F447" t="s">
        <v>62</v>
      </c>
      <c r="G447" t="s">
        <v>74</v>
      </c>
      <c r="H447" t="s">
        <v>602</v>
      </c>
      <c r="I447" t="s">
        <v>135</v>
      </c>
      <c r="J447" s="2">
        <v>324.41</v>
      </c>
      <c r="K447">
        <v>7</v>
      </c>
      <c r="L447" t="s">
        <v>65</v>
      </c>
      <c r="M447">
        <v>4</v>
      </c>
      <c r="N447">
        <v>4</v>
      </c>
      <c r="O447">
        <v>1</v>
      </c>
      <c r="P447" t="s">
        <v>66</v>
      </c>
      <c r="Q447" t="s">
        <v>80</v>
      </c>
      <c r="R447">
        <v>0</v>
      </c>
      <c r="S447">
        <v>5</v>
      </c>
      <c r="T447" t="s">
        <v>79</v>
      </c>
      <c r="U447" t="s">
        <v>68</v>
      </c>
      <c r="V447" t="s">
        <v>91</v>
      </c>
      <c r="W447" s="3">
        <v>45411</v>
      </c>
      <c r="X447" t="b">
        <v>1</v>
      </c>
      <c r="Y447" t="b">
        <v>1</v>
      </c>
      <c r="Z447" t="s">
        <v>70</v>
      </c>
      <c r="AA447" t="s">
        <v>71</v>
      </c>
      <c r="AB447">
        <v>4</v>
      </c>
      <c r="AO447" t="str">
        <f t="shared" si="24"/>
        <v>41-60</v>
      </c>
      <c r="BD447">
        <v>7</v>
      </c>
      <c r="BF447" cm="1">
        <f t="array" ref="BF447">CORREL(J447:J1447,S447:S1447)</f>
        <v>-0.0493160986936654</v>
      </c>
      <c r="BH447">
        <v>5</v>
      </c>
      <c r="BI447">
        <f t="shared" si="22"/>
        <v>1.4</v>
      </c>
      <c r="BJ447">
        <f t="shared" si="23"/>
        <v>3.57142857142857</v>
      </c>
    </row>
    <row r="448" spans="1:62">
      <c r="A448" s="1">
        <v>802773242</v>
      </c>
      <c r="B448">
        <v>36</v>
      </c>
      <c r="C448" t="s">
        <v>73</v>
      </c>
      <c r="D448" t="s">
        <v>74</v>
      </c>
      <c r="E448" t="s">
        <v>98</v>
      </c>
      <c r="F448" t="s">
        <v>75</v>
      </c>
      <c r="G448" t="s">
        <v>60</v>
      </c>
      <c r="H448" t="s">
        <v>603</v>
      </c>
      <c r="I448" t="s">
        <v>178</v>
      </c>
      <c r="J448" s="2">
        <v>342.39</v>
      </c>
      <c r="K448">
        <v>8</v>
      </c>
      <c r="L448" t="s">
        <v>78</v>
      </c>
      <c r="M448">
        <v>1</v>
      </c>
      <c r="N448">
        <v>5</v>
      </c>
      <c r="O448">
        <v>2</v>
      </c>
      <c r="P448" t="s">
        <v>84</v>
      </c>
      <c r="Q448" t="s">
        <v>109</v>
      </c>
      <c r="R448">
        <v>2</v>
      </c>
      <c r="S448">
        <v>3</v>
      </c>
      <c r="T448" t="s">
        <v>74</v>
      </c>
      <c r="U448" t="s">
        <v>105</v>
      </c>
      <c r="V448" t="s">
        <v>96</v>
      </c>
      <c r="W448" s="3">
        <v>45295</v>
      </c>
      <c r="X448" t="b">
        <v>0</v>
      </c>
      <c r="Y448" t="b">
        <v>0</v>
      </c>
      <c r="Z448" t="s">
        <v>70</v>
      </c>
      <c r="AA448" t="s">
        <v>83</v>
      </c>
      <c r="AB448">
        <v>9</v>
      </c>
      <c r="AO448" t="str">
        <f t="shared" si="24"/>
        <v>26-40</v>
      </c>
      <c r="BD448">
        <v>8</v>
      </c>
      <c r="BF448" cm="1">
        <f t="array" ref="BF448">CORREL(J448:J1448,S448:S1448)</f>
        <v>-0.0492237291118669</v>
      </c>
      <c r="BH448">
        <v>3</v>
      </c>
      <c r="BI448">
        <f t="shared" si="22"/>
        <v>2.66666666666667</v>
      </c>
      <c r="BJ448">
        <f t="shared" si="23"/>
        <v>1.125</v>
      </c>
    </row>
    <row r="449" spans="1:62">
      <c r="A449" s="1">
        <v>449499040</v>
      </c>
      <c r="B449">
        <v>23</v>
      </c>
      <c r="C449" t="s">
        <v>59</v>
      </c>
      <c r="D449" t="s">
        <v>74</v>
      </c>
      <c r="E449" t="s">
        <v>103</v>
      </c>
      <c r="F449" t="s">
        <v>62</v>
      </c>
      <c r="G449" t="s">
        <v>74</v>
      </c>
      <c r="H449" t="s">
        <v>604</v>
      </c>
      <c r="I449" t="s">
        <v>122</v>
      </c>
      <c r="J449" s="2">
        <v>446.86</v>
      </c>
      <c r="K449">
        <v>9</v>
      </c>
      <c r="L449" t="s">
        <v>78</v>
      </c>
      <c r="M449">
        <v>2</v>
      </c>
      <c r="N449">
        <v>1</v>
      </c>
      <c r="O449">
        <v>2</v>
      </c>
      <c r="P449" t="s">
        <v>66</v>
      </c>
      <c r="Q449" t="s">
        <v>109</v>
      </c>
      <c r="R449">
        <v>0</v>
      </c>
      <c r="S449">
        <v>2</v>
      </c>
      <c r="T449" t="s">
        <v>79</v>
      </c>
      <c r="U449" t="s">
        <v>105</v>
      </c>
      <c r="V449" t="s">
        <v>81</v>
      </c>
      <c r="W449" s="3">
        <v>45603</v>
      </c>
      <c r="X449" t="b">
        <v>0</v>
      </c>
      <c r="Y449" t="b">
        <v>0</v>
      </c>
      <c r="Z449" t="s">
        <v>82</v>
      </c>
      <c r="AA449" t="s">
        <v>71</v>
      </c>
      <c r="AB449">
        <v>5</v>
      </c>
      <c r="AO449" t="str">
        <f t="shared" si="24"/>
        <v>18-25</v>
      </c>
      <c r="BD449">
        <v>9</v>
      </c>
      <c r="BF449" cm="1">
        <f t="array" ref="BF449">CORREL(J449:J1449,S449:S1449)</f>
        <v>-0.0485001270846868</v>
      </c>
      <c r="BH449">
        <v>2</v>
      </c>
      <c r="BI449">
        <f t="shared" si="22"/>
        <v>4.5</v>
      </c>
      <c r="BJ449">
        <f t="shared" si="23"/>
        <v>0.444444444444444</v>
      </c>
    </row>
    <row r="450" spans="1:62">
      <c r="A450" s="4" t="s">
        <v>605</v>
      </c>
      <c r="B450">
        <v>49</v>
      </c>
      <c r="C450" t="s">
        <v>73</v>
      </c>
      <c r="D450" t="s">
        <v>74</v>
      </c>
      <c r="E450" t="s">
        <v>103</v>
      </c>
      <c r="F450" t="s">
        <v>87</v>
      </c>
      <c r="G450" t="s">
        <v>74</v>
      </c>
      <c r="H450" t="s">
        <v>606</v>
      </c>
      <c r="I450" t="s">
        <v>131</v>
      </c>
      <c r="J450" s="2">
        <v>463.15</v>
      </c>
      <c r="K450">
        <v>3</v>
      </c>
      <c r="L450" t="s">
        <v>65</v>
      </c>
      <c r="M450">
        <v>1</v>
      </c>
      <c r="N450">
        <v>1</v>
      </c>
      <c r="O450">
        <v>1</v>
      </c>
      <c r="P450" t="s">
        <v>66</v>
      </c>
      <c r="Q450" t="s">
        <v>67</v>
      </c>
      <c r="R450">
        <v>1</v>
      </c>
      <c r="S450">
        <v>9</v>
      </c>
      <c r="T450" t="s">
        <v>74</v>
      </c>
      <c r="U450" t="s">
        <v>90</v>
      </c>
      <c r="V450" t="s">
        <v>91</v>
      </c>
      <c r="W450" s="3">
        <v>45407</v>
      </c>
      <c r="X450" t="b">
        <v>1</v>
      </c>
      <c r="Y450" t="b">
        <v>1</v>
      </c>
      <c r="Z450" t="s">
        <v>70</v>
      </c>
      <c r="AA450" t="s">
        <v>83</v>
      </c>
      <c r="AB450">
        <v>9</v>
      </c>
      <c r="AO450" t="str">
        <f t="shared" si="24"/>
        <v>41-60</v>
      </c>
      <c r="BD450">
        <v>3</v>
      </c>
      <c r="BF450" cm="1">
        <f t="array" ref="BF450">CORREL(J450:J1450,S450:S1450)</f>
        <v>-0.0457751527047597</v>
      </c>
      <c r="BH450">
        <v>9</v>
      </c>
      <c r="BI450">
        <f t="shared" si="22"/>
        <v>0.333333333333333</v>
      </c>
      <c r="BJ450">
        <f t="shared" si="23"/>
        <v>27</v>
      </c>
    </row>
    <row r="451" spans="1:62">
      <c r="A451" s="1">
        <v>513202801</v>
      </c>
      <c r="B451">
        <v>27</v>
      </c>
      <c r="C451" t="s">
        <v>59</v>
      </c>
      <c r="D451" t="s">
        <v>74</v>
      </c>
      <c r="E451" t="s">
        <v>103</v>
      </c>
      <c r="F451" t="s">
        <v>62</v>
      </c>
      <c r="G451" t="s">
        <v>74</v>
      </c>
      <c r="H451" t="s">
        <v>607</v>
      </c>
      <c r="I451" t="s">
        <v>156</v>
      </c>
      <c r="J451" s="2">
        <v>122.99</v>
      </c>
      <c r="K451">
        <v>12</v>
      </c>
      <c r="L451" t="s">
        <v>78</v>
      </c>
      <c r="M451">
        <v>1</v>
      </c>
      <c r="N451">
        <v>5</v>
      </c>
      <c r="O451">
        <v>1</v>
      </c>
      <c r="P451" t="s">
        <v>74</v>
      </c>
      <c r="Q451" t="s">
        <v>109</v>
      </c>
      <c r="R451">
        <v>1</v>
      </c>
      <c r="S451">
        <v>8</v>
      </c>
      <c r="T451" t="s">
        <v>66</v>
      </c>
      <c r="U451" t="s">
        <v>105</v>
      </c>
      <c r="V451" t="s">
        <v>110</v>
      </c>
      <c r="W451" s="3">
        <v>45568</v>
      </c>
      <c r="X451" t="b">
        <v>1</v>
      </c>
      <c r="Y451" t="b">
        <v>0</v>
      </c>
      <c r="Z451" t="s">
        <v>102</v>
      </c>
      <c r="AA451" t="s">
        <v>71</v>
      </c>
      <c r="AB451">
        <v>1</v>
      </c>
      <c r="AO451" t="str">
        <f t="shared" si="24"/>
        <v>26-40</v>
      </c>
      <c r="BD451">
        <v>12</v>
      </c>
      <c r="BF451" cm="1">
        <f t="array" ref="BF451">CORREL(J451:J1451,S451:S1451)</f>
        <v>-0.0491798222632656</v>
      </c>
      <c r="BH451">
        <v>8</v>
      </c>
      <c r="BI451">
        <f t="shared" ref="BI451:BI514" si="25">K451/S451</f>
        <v>1.5</v>
      </c>
      <c r="BJ451">
        <f t="shared" ref="BJ451:BJ514" si="26">BH451/BI451</f>
        <v>5.33333333333333</v>
      </c>
    </row>
    <row r="452" spans="1:62">
      <c r="A452" s="1">
        <v>505105119</v>
      </c>
      <c r="B452">
        <v>43</v>
      </c>
      <c r="C452" t="s">
        <v>73</v>
      </c>
      <c r="D452" t="s">
        <v>74</v>
      </c>
      <c r="E452" t="s">
        <v>98</v>
      </c>
      <c r="F452" t="s">
        <v>87</v>
      </c>
      <c r="G452" t="s">
        <v>74</v>
      </c>
      <c r="H452" t="s">
        <v>608</v>
      </c>
      <c r="I452" t="s">
        <v>174</v>
      </c>
      <c r="J452" s="2">
        <v>322.4</v>
      </c>
      <c r="K452">
        <v>7</v>
      </c>
      <c r="L452" t="s">
        <v>65</v>
      </c>
      <c r="M452">
        <v>4</v>
      </c>
      <c r="N452">
        <v>2</v>
      </c>
      <c r="O452">
        <v>1</v>
      </c>
      <c r="P452" t="s">
        <v>79</v>
      </c>
      <c r="Q452" t="s">
        <v>109</v>
      </c>
      <c r="R452">
        <v>2</v>
      </c>
      <c r="S452">
        <v>3</v>
      </c>
      <c r="T452" t="s">
        <v>79</v>
      </c>
      <c r="U452" t="s">
        <v>68</v>
      </c>
      <c r="V452" t="s">
        <v>110</v>
      </c>
      <c r="W452" s="3">
        <v>45511</v>
      </c>
      <c r="X452" t="b">
        <v>1</v>
      </c>
      <c r="Y452" t="b">
        <v>1</v>
      </c>
      <c r="Z452" t="s">
        <v>70</v>
      </c>
      <c r="AA452" t="s">
        <v>97</v>
      </c>
      <c r="AB452">
        <v>2</v>
      </c>
      <c r="AO452" t="str">
        <f t="shared" si="24"/>
        <v>41-60</v>
      </c>
      <c r="BD452">
        <v>7</v>
      </c>
      <c r="BF452" cm="1">
        <f t="array" ref="BF452">CORREL(J452:J1452,S452:S1452)</f>
        <v>-0.047318327592812</v>
      </c>
      <c r="BH452">
        <v>3</v>
      </c>
      <c r="BI452">
        <f t="shared" si="25"/>
        <v>2.33333333333333</v>
      </c>
      <c r="BJ452">
        <f t="shared" si="26"/>
        <v>1.28571428571429</v>
      </c>
    </row>
    <row r="453" spans="1:62">
      <c r="A453" s="1">
        <v>639646954</v>
      </c>
      <c r="B453">
        <v>19</v>
      </c>
      <c r="C453" t="s">
        <v>59</v>
      </c>
      <c r="D453" t="s">
        <v>74</v>
      </c>
      <c r="E453" t="s">
        <v>61</v>
      </c>
      <c r="F453" t="s">
        <v>75</v>
      </c>
      <c r="G453" t="s">
        <v>60</v>
      </c>
      <c r="H453" t="s">
        <v>609</v>
      </c>
      <c r="I453" t="s">
        <v>122</v>
      </c>
      <c r="J453" s="2">
        <v>73.19</v>
      </c>
      <c r="K453">
        <v>5</v>
      </c>
      <c r="L453" t="s">
        <v>65</v>
      </c>
      <c r="M453">
        <v>2</v>
      </c>
      <c r="N453">
        <v>5</v>
      </c>
      <c r="O453">
        <v>1</v>
      </c>
      <c r="P453" t="s">
        <v>84</v>
      </c>
      <c r="Q453" t="s">
        <v>80</v>
      </c>
      <c r="R453">
        <v>2</v>
      </c>
      <c r="S453">
        <v>8</v>
      </c>
      <c r="T453" t="s">
        <v>74</v>
      </c>
      <c r="U453" t="s">
        <v>90</v>
      </c>
      <c r="V453" t="s">
        <v>81</v>
      </c>
      <c r="W453" s="3">
        <v>45393</v>
      </c>
      <c r="X453" t="b">
        <v>0</v>
      </c>
      <c r="Y453" t="b">
        <v>1</v>
      </c>
      <c r="Z453" t="s">
        <v>70</v>
      </c>
      <c r="AA453" t="s">
        <v>71</v>
      </c>
      <c r="AB453">
        <v>3</v>
      </c>
      <c r="AO453" t="str">
        <f t="shared" si="24"/>
        <v>18-25</v>
      </c>
      <c r="BD453">
        <v>5</v>
      </c>
      <c r="BF453" cm="1">
        <f t="array" ref="BF453">CORREL(J453:J1453,S453:S1453)</f>
        <v>-0.0468174709673891</v>
      </c>
      <c r="BH453">
        <v>8</v>
      </c>
      <c r="BI453">
        <f t="shared" si="25"/>
        <v>0.625</v>
      </c>
      <c r="BJ453">
        <f t="shared" si="26"/>
        <v>12.8</v>
      </c>
    </row>
    <row r="454" spans="1:62">
      <c r="A454" s="1">
        <v>555699247</v>
      </c>
      <c r="B454">
        <v>41</v>
      </c>
      <c r="C454" t="s">
        <v>59</v>
      </c>
      <c r="D454" t="s">
        <v>60</v>
      </c>
      <c r="E454" t="s">
        <v>61</v>
      </c>
      <c r="F454" t="s">
        <v>87</v>
      </c>
      <c r="G454" t="s">
        <v>74</v>
      </c>
      <c r="H454" t="s">
        <v>536</v>
      </c>
      <c r="I454" t="s">
        <v>137</v>
      </c>
      <c r="J454" s="2">
        <v>279.08</v>
      </c>
      <c r="K454">
        <v>10</v>
      </c>
      <c r="L454" t="s">
        <v>85</v>
      </c>
      <c r="M454">
        <v>4</v>
      </c>
      <c r="N454">
        <v>2</v>
      </c>
      <c r="O454">
        <v>1</v>
      </c>
      <c r="P454" t="s">
        <v>74</v>
      </c>
      <c r="Q454" t="s">
        <v>80</v>
      </c>
      <c r="R454">
        <v>2</v>
      </c>
      <c r="S454">
        <v>7</v>
      </c>
      <c r="T454" t="s">
        <v>79</v>
      </c>
      <c r="U454" t="s">
        <v>90</v>
      </c>
      <c r="V454" t="s">
        <v>69</v>
      </c>
      <c r="W454" s="3">
        <v>45407</v>
      </c>
      <c r="X454" t="b">
        <v>0</v>
      </c>
      <c r="Y454" t="b">
        <v>1</v>
      </c>
      <c r="Z454" t="s">
        <v>82</v>
      </c>
      <c r="AA454" t="s">
        <v>71</v>
      </c>
      <c r="AB454">
        <v>3</v>
      </c>
      <c r="AO454" t="str">
        <f t="shared" si="24"/>
        <v>41-60</v>
      </c>
      <c r="BD454">
        <v>10</v>
      </c>
      <c r="BF454" cm="1">
        <f t="array" ref="BF454">CORREL(J454:J1454,S454:S1454)</f>
        <v>-0.0443518936597976</v>
      </c>
      <c r="BH454">
        <v>7</v>
      </c>
      <c r="BI454">
        <f t="shared" si="25"/>
        <v>1.42857142857143</v>
      </c>
      <c r="BJ454">
        <f t="shared" si="26"/>
        <v>4.9</v>
      </c>
    </row>
    <row r="455" spans="1:62">
      <c r="A455" s="4" t="s">
        <v>610</v>
      </c>
      <c r="B455">
        <v>29</v>
      </c>
      <c r="C455" t="s">
        <v>59</v>
      </c>
      <c r="D455" t="s">
        <v>60</v>
      </c>
      <c r="E455" t="s">
        <v>86</v>
      </c>
      <c r="F455" t="s">
        <v>75</v>
      </c>
      <c r="G455" t="s">
        <v>60</v>
      </c>
      <c r="H455" t="s">
        <v>611</v>
      </c>
      <c r="I455" t="s">
        <v>178</v>
      </c>
      <c r="J455" s="2">
        <v>478.85</v>
      </c>
      <c r="K455">
        <v>10</v>
      </c>
      <c r="L455" t="s">
        <v>78</v>
      </c>
      <c r="M455">
        <v>4</v>
      </c>
      <c r="N455">
        <v>2</v>
      </c>
      <c r="O455">
        <v>2</v>
      </c>
      <c r="P455" t="s">
        <v>66</v>
      </c>
      <c r="Q455" t="s">
        <v>80</v>
      </c>
      <c r="R455">
        <v>2</v>
      </c>
      <c r="S455">
        <v>2</v>
      </c>
      <c r="T455" t="s">
        <v>66</v>
      </c>
      <c r="U455" t="s">
        <v>105</v>
      </c>
      <c r="V455" t="s">
        <v>110</v>
      </c>
      <c r="W455" s="3">
        <v>45410</v>
      </c>
      <c r="X455" t="b">
        <v>0</v>
      </c>
      <c r="Y455" t="b">
        <v>0</v>
      </c>
      <c r="Z455" t="s">
        <v>102</v>
      </c>
      <c r="AA455" t="s">
        <v>71</v>
      </c>
      <c r="AB455">
        <v>4</v>
      </c>
      <c r="AO455" t="str">
        <f t="shared" si="24"/>
        <v>26-40</v>
      </c>
      <c r="BD455">
        <v>10</v>
      </c>
      <c r="BF455" cm="1">
        <f t="array" ref="BF455">CORREL(J455:J1455,S455:S1455)</f>
        <v>-0.0443715384700082</v>
      </c>
      <c r="BH455">
        <v>2</v>
      </c>
      <c r="BI455">
        <f t="shared" si="25"/>
        <v>5</v>
      </c>
      <c r="BJ455">
        <f t="shared" si="26"/>
        <v>0.4</v>
      </c>
    </row>
    <row r="456" spans="1:62">
      <c r="A456" s="1">
        <v>776267240</v>
      </c>
      <c r="B456">
        <v>25</v>
      </c>
      <c r="C456" t="s">
        <v>73</v>
      </c>
      <c r="D456" t="s">
        <v>74</v>
      </c>
      <c r="E456" t="s">
        <v>98</v>
      </c>
      <c r="F456" t="s">
        <v>87</v>
      </c>
      <c r="G456" t="s">
        <v>74</v>
      </c>
      <c r="H456" t="s">
        <v>612</v>
      </c>
      <c r="I456" t="s">
        <v>77</v>
      </c>
      <c r="J456" s="2">
        <v>86.39</v>
      </c>
      <c r="K456">
        <v>5</v>
      </c>
      <c r="L456" t="s">
        <v>65</v>
      </c>
      <c r="M456">
        <v>4</v>
      </c>
      <c r="N456">
        <v>5</v>
      </c>
      <c r="O456">
        <v>1</v>
      </c>
      <c r="P456" t="s">
        <v>74</v>
      </c>
      <c r="Q456" t="s">
        <v>67</v>
      </c>
      <c r="R456">
        <v>1</v>
      </c>
      <c r="S456">
        <v>1</v>
      </c>
      <c r="T456" t="s">
        <v>79</v>
      </c>
      <c r="U456" t="s">
        <v>105</v>
      </c>
      <c r="V456" t="s">
        <v>91</v>
      </c>
      <c r="W456" s="3">
        <v>45544</v>
      </c>
      <c r="X456" t="b">
        <v>0</v>
      </c>
      <c r="Y456" t="b">
        <v>0</v>
      </c>
      <c r="Z456" t="s">
        <v>70</v>
      </c>
      <c r="AA456" t="s">
        <v>83</v>
      </c>
      <c r="AB456">
        <v>7</v>
      </c>
      <c r="AO456" t="str">
        <f t="shared" si="24"/>
        <v>18-25</v>
      </c>
      <c r="BD456">
        <v>5</v>
      </c>
      <c r="BF456" cm="1">
        <f t="array" ref="BF456">CORREL(J456:J1456,S456:S1456)</f>
        <v>-0.0410832077261865</v>
      </c>
      <c r="BH456">
        <v>1</v>
      </c>
      <c r="BI456">
        <f t="shared" si="25"/>
        <v>5</v>
      </c>
      <c r="BJ456">
        <f t="shared" si="26"/>
        <v>0.2</v>
      </c>
    </row>
    <row r="457" spans="1:62">
      <c r="A457" s="1">
        <v>759159803</v>
      </c>
      <c r="B457">
        <v>45</v>
      </c>
      <c r="C457" t="s">
        <v>73</v>
      </c>
      <c r="D457" t="s">
        <v>74</v>
      </c>
      <c r="E457" t="s">
        <v>98</v>
      </c>
      <c r="F457" t="s">
        <v>62</v>
      </c>
      <c r="G457" t="s">
        <v>60</v>
      </c>
      <c r="H457" t="s">
        <v>613</v>
      </c>
      <c r="I457" t="s">
        <v>135</v>
      </c>
      <c r="J457" s="2">
        <v>192.35</v>
      </c>
      <c r="K457">
        <v>11</v>
      </c>
      <c r="L457" t="s">
        <v>65</v>
      </c>
      <c r="M457">
        <v>3</v>
      </c>
      <c r="N457">
        <v>5</v>
      </c>
      <c r="O457">
        <v>2</v>
      </c>
      <c r="P457" t="s">
        <v>74</v>
      </c>
      <c r="Q457" t="s">
        <v>80</v>
      </c>
      <c r="R457">
        <v>2</v>
      </c>
      <c r="S457">
        <v>1</v>
      </c>
      <c r="T457" t="s">
        <v>74</v>
      </c>
      <c r="U457" t="s">
        <v>90</v>
      </c>
      <c r="V457" t="s">
        <v>69</v>
      </c>
      <c r="W457" s="3">
        <v>45420</v>
      </c>
      <c r="X457" t="b">
        <v>1</v>
      </c>
      <c r="Y457" t="b">
        <v>0</v>
      </c>
      <c r="Z457" t="s">
        <v>92</v>
      </c>
      <c r="AA457" t="s">
        <v>97</v>
      </c>
      <c r="AB457">
        <v>11</v>
      </c>
      <c r="AO457" t="str">
        <f t="shared" si="24"/>
        <v>41-60</v>
      </c>
      <c r="BD457">
        <v>11</v>
      </c>
      <c r="BF457" cm="1">
        <f t="array" ref="BF457">CORREL(J457:J1457,S457:S1457)</f>
        <v>-0.0455261424442762</v>
      </c>
      <c r="BH457">
        <v>1</v>
      </c>
      <c r="BI457">
        <f t="shared" si="25"/>
        <v>11</v>
      </c>
      <c r="BJ457">
        <f t="shared" si="26"/>
        <v>0.0909090909090909</v>
      </c>
    </row>
    <row r="458" spans="1:62">
      <c r="A458" s="1">
        <v>789052660</v>
      </c>
      <c r="B458">
        <v>36</v>
      </c>
      <c r="C458" t="s">
        <v>59</v>
      </c>
      <c r="D458" t="s">
        <v>60</v>
      </c>
      <c r="E458" t="s">
        <v>103</v>
      </c>
      <c r="F458" t="s">
        <v>62</v>
      </c>
      <c r="G458" t="s">
        <v>74</v>
      </c>
      <c r="H458" t="s">
        <v>614</v>
      </c>
      <c r="I458" t="s">
        <v>174</v>
      </c>
      <c r="J458" s="2">
        <v>235.32</v>
      </c>
      <c r="K458">
        <v>7</v>
      </c>
      <c r="L458" t="s">
        <v>85</v>
      </c>
      <c r="M458">
        <v>2</v>
      </c>
      <c r="N458">
        <v>1</v>
      </c>
      <c r="O458">
        <v>1</v>
      </c>
      <c r="P458" t="s">
        <v>79</v>
      </c>
      <c r="Q458" t="s">
        <v>109</v>
      </c>
      <c r="R458">
        <v>1</v>
      </c>
      <c r="S458">
        <v>10</v>
      </c>
      <c r="T458" t="s">
        <v>74</v>
      </c>
      <c r="U458" t="s">
        <v>105</v>
      </c>
      <c r="V458" t="s">
        <v>81</v>
      </c>
      <c r="W458" s="3">
        <v>45452</v>
      </c>
      <c r="X458" t="b">
        <v>0</v>
      </c>
      <c r="Y458" t="b">
        <v>1</v>
      </c>
      <c r="Z458" t="s">
        <v>92</v>
      </c>
      <c r="AA458" t="s">
        <v>97</v>
      </c>
      <c r="AB458">
        <v>11</v>
      </c>
      <c r="AO458" t="str">
        <f t="shared" si="24"/>
        <v>26-40</v>
      </c>
      <c r="BD458">
        <v>7</v>
      </c>
      <c r="BF458" cm="1">
        <f t="array" ref="BF458">CORREL(J458:J1458,S458:S1458)</f>
        <v>-0.047572430719596</v>
      </c>
      <c r="BH458">
        <v>10</v>
      </c>
      <c r="BI458">
        <f t="shared" si="25"/>
        <v>0.7</v>
      </c>
      <c r="BJ458">
        <f t="shared" si="26"/>
        <v>14.2857142857143</v>
      </c>
    </row>
    <row r="459" spans="1:62">
      <c r="A459" s="4" t="s">
        <v>615</v>
      </c>
      <c r="B459">
        <v>21</v>
      </c>
      <c r="C459" t="s">
        <v>59</v>
      </c>
      <c r="D459" t="s">
        <v>74</v>
      </c>
      <c r="E459" t="s">
        <v>98</v>
      </c>
      <c r="F459" t="s">
        <v>75</v>
      </c>
      <c r="G459" t="s">
        <v>74</v>
      </c>
      <c r="H459" t="s">
        <v>616</v>
      </c>
      <c r="I459" t="s">
        <v>131</v>
      </c>
      <c r="J459" s="2">
        <v>212.63</v>
      </c>
      <c r="K459">
        <v>8</v>
      </c>
      <c r="L459" t="s">
        <v>85</v>
      </c>
      <c r="M459">
        <v>4</v>
      </c>
      <c r="N459">
        <v>2</v>
      </c>
      <c r="O459">
        <v>1</v>
      </c>
      <c r="P459" t="s">
        <v>84</v>
      </c>
      <c r="Q459" t="s">
        <v>109</v>
      </c>
      <c r="R459">
        <v>0</v>
      </c>
      <c r="S459">
        <v>4</v>
      </c>
      <c r="T459" t="s">
        <v>74</v>
      </c>
      <c r="U459" t="s">
        <v>105</v>
      </c>
      <c r="V459" t="s">
        <v>91</v>
      </c>
      <c r="W459" s="3">
        <v>45531</v>
      </c>
      <c r="X459" t="b">
        <v>0</v>
      </c>
      <c r="Y459" t="b">
        <v>1</v>
      </c>
      <c r="Z459" t="s">
        <v>70</v>
      </c>
      <c r="AA459" t="s">
        <v>71</v>
      </c>
      <c r="AB459">
        <v>6</v>
      </c>
      <c r="AO459" t="str">
        <f t="shared" si="24"/>
        <v>18-25</v>
      </c>
      <c r="BD459">
        <v>8</v>
      </c>
      <c r="BF459" cm="1">
        <f t="array" ref="BF459">CORREL(J459:J1459,S459:S1459)</f>
        <v>-0.04670834209538</v>
      </c>
      <c r="BH459">
        <v>4</v>
      </c>
      <c r="BI459">
        <f t="shared" si="25"/>
        <v>2</v>
      </c>
      <c r="BJ459">
        <f t="shared" si="26"/>
        <v>2</v>
      </c>
    </row>
    <row r="460" spans="1:62">
      <c r="A460" s="1">
        <v>204609796</v>
      </c>
      <c r="B460">
        <v>47</v>
      </c>
      <c r="C460" t="s">
        <v>59</v>
      </c>
      <c r="D460" t="s">
        <v>60</v>
      </c>
      <c r="E460" t="s">
        <v>98</v>
      </c>
      <c r="F460" t="s">
        <v>87</v>
      </c>
      <c r="G460" t="s">
        <v>74</v>
      </c>
      <c r="H460" t="s">
        <v>617</v>
      </c>
      <c r="I460" t="s">
        <v>77</v>
      </c>
      <c r="J460" s="2">
        <v>246.63</v>
      </c>
      <c r="K460">
        <v>8</v>
      </c>
      <c r="L460" t="s">
        <v>78</v>
      </c>
      <c r="M460">
        <v>2</v>
      </c>
      <c r="N460">
        <v>3</v>
      </c>
      <c r="O460">
        <v>1</v>
      </c>
      <c r="P460" t="s">
        <v>66</v>
      </c>
      <c r="Q460" t="s">
        <v>67</v>
      </c>
      <c r="R460">
        <v>2</v>
      </c>
      <c r="S460">
        <v>3</v>
      </c>
      <c r="T460" t="s">
        <v>66</v>
      </c>
      <c r="U460" t="s">
        <v>68</v>
      </c>
      <c r="V460" t="s">
        <v>69</v>
      </c>
      <c r="W460" s="3">
        <v>45383</v>
      </c>
      <c r="X460" t="b">
        <v>1</v>
      </c>
      <c r="Y460" t="b">
        <v>0</v>
      </c>
      <c r="Z460" t="s">
        <v>92</v>
      </c>
      <c r="AA460" t="s">
        <v>97</v>
      </c>
      <c r="AB460">
        <v>10</v>
      </c>
      <c r="AO460" t="str">
        <f t="shared" si="24"/>
        <v>41-60</v>
      </c>
      <c r="BD460">
        <v>8</v>
      </c>
      <c r="BF460" cm="1">
        <f t="array" ref="BF460">CORREL(J460:J1460,S460:S1460)</f>
        <v>-0.0472120419827884</v>
      </c>
      <c r="BH460">
        <v>3</v>
      </c>
      <c r="BI460">
        <f t="shared" si="25"/>
        <v>2.66666666666667</v>
      </c>
      <c r="BJ460">
        <f t="shared" si="26"/>
        <v>1.125</v>
      </c>
    </row>
    <row r="461" spans="1:62">
      <c r="A461" s="1">
        <v>575874005</v>
      </c>
      <c r="B461">
        <v>26</v>
      </c>
      <c r="C461" t="s">
        <v>59</v>
      </c>
      <c r="D461" t="s">
        <v>60</v>
      </c>
      <c r="E461" t="s">
        <v>98</v>
      </c>
      <c r="F461" t="s">
        <v>62</v>
      </c>
      <c r="G461" t="s">
        <v>74</v>
      </c>
      <c r="H461" t="s">
        <v>215</v>
      </c>
      <c r="I461" t="s">
        <v>137</v>
      </c>
      <c r="J461" s="2">
        <v>228.47</v>
      </c>
      <c r="K461">
        <v>9</v>
      </c>
      <c r="L461" t="s">
        <v>85</v>
      </c>
      <c r="M461">
        <v>3</v>
      </c>
      <c r="N461">
        <v>3</v>
      </c>
      <c r="O461">
        <v>1</v>
      </c>
      <c r="P461" t="s">
        <v>66</v>
      </c>
      <c r="Q461" t="s">
        <v>109</v>
      </c>
      <c r="R461">
        <v>1</v>
      </c>
      <c r="S461">
        <v>7</v>
      </c>
      <c r="T461" t="s">
        <v>66</v>
      </c>
      <c r="U461" t="s">
        <v>105</v>
      </c>
      <c r="V461" t="s">
        <v>69</v>
      </c>
      <c r="W461" s="3">
        <v>45533</v>
      </c>
      <c r="X461" t="b">
        <v>0</v>
      </c>
      <c r="Y461" t="b">
        <v>1</v>
      </c>
      <c r="Z461" t="s">
        <v>92</v>
      </c>
      <c r="AA461" t="s">
        <v>97</v>
      </c>
      <c r="AB461">
        <v>12</v>
      </c>
      <c r="AO461" t="str">
        <f t="shared" si="24"/>
        <v>26-40</v>
      </c>
      <c r="BD461">
        <v>9</v>
      </c>
      <c r="BF461" cm="1">
        <f t="array" ref="BF461">CORREL(J461:J1461,S461:S1461)</f>
        <v>-0.0476435446897858</v>
      </c>
      <c r="BH461">
        <v>7</v>
      </c>
      <c r="BI461">
        <f t="shared" si="25"/>
        <v>1.28571428571429</v>
      </c>
      <c r="BJ461">
        <f t="shared" si="26"/>
        <v>5.44444444444444</v>
      </c>
    </row>
    <row r="462" spans="1:62">
      <c r="A462" s="1">
        <v>994778256</v>
      </c>
      <c r="B462">
        <v>25</v>
      </c>
      <c r="C462" t="s">
        <v>59</v>
      </c>
      <c r="D462" t="s">
        <v>60</v>
      </c>
      <c r="E462" t="s">
        <v>86</v>
      </c>
      <c r="F462" t="s">
        <v>87</v>
      </c>
      <c r="G462" t="s">
        <v>74</v>
      </c>
      <c r="H462" t="s">
        <v>618</v>
      </c>
      <c r="I462" t="s">
        <v>64</v>
      </c>
      <c r="J462" s="2">
        <v>343.77</v>
      </c>
      <c r="K462">
        <v>6</v>
      </c>
      <c r="L462" t="s">
        <v>85</v>
      </c>
      <c r="M462">
        <v>4</v>
      </c>
      <c r="N462">
        <v>3</v>
      </c>
      <c r="O462">
        <v>2</v>
      </c>
      <c r="P462" t="s">
        <v>84</v>
      </c>
      <c r="Q462" t="s">
        <v>67</v>
      </c>
      <c r="R462">
        <v>2</v>
      </c>
      <c r="S462">
        <v>9</v>
      </c>
      <c r="T462" t="s">
        <v>74</v>
      </c>
      <c r="U462" t="s">
        <v>105</v>
      </c>
      <c r="V462" t="s">
        <v>110</v>
      </c>
      <c r="W462" s="3">
        <v>45553</v>
      </c>
      <c r="X462" t="b">
        <v>1</v>
      </c>
      <c r="Y462" t="b">
        <v>1</v>
      </c>
      <c r="Z462" t="s">
        <v>82</v>
      </c>
      <c r="AA462" t="s">
        <v>97</v>
      </c>
      <c r="AB462">
        <v>6</v>
      </c>
      <c r="AO462" t="str">
        <f t="shared" si="24"/>
        <v>18-25</v>
      </c>
      <c r="BD462">
        <v>6</v>
      </c>
      <c r="BF462" cm="1">
        <f t="array" ref="BF462">CORREL(J462:J1462,S462:S1462)</f>
        <v>-0.0472725904235163</v>
      </c>
      <c r="BH462">
        <v>9</v>
      </c>
      <c r="BI462">
        <f t="shared" si="25"/>
        <v>0.666666666666667</v>
      </c>
      <c r="BJ462">
        <f t="shared" si="26"/>
        <v>13.5</v>
      </c>
    </row>
    <row r="463" spans="1:62">
      <c r="A463" s="4" t="s">
        <v>619</v>
      </c>
      <c r="B463">
        <v>26</v>
      </c>
      <c r="C463" t="s">
        <v>111</v>
      </c>
      <c r="D463" t="s">
        <v>60</v>
      </c>
      <c r="E463" t="s">
        <v>61</v>
      </c>
      <c r="F463" t="s">
        <v>62</v>
      </c>
      <c r="G463" t="s">
        <v>74</v>
      </c>
      <c r="H463" t="s">
        <v>620</v>
      </c>
      <c r="I463" t="s">
        <v>156</v>
      </c>
      <c r="J463" s="2">
        <v>339.32</v>
      </c>
      <c r="K463">
        <v>9</v>
      </c>
      <c r="L463" t="s">
        <v>78</v>
      </c>
      <c r="M463">
        <v>2</v>
      </c>
      <c r="N463">
        <v>4</v>
      </c>
      <c r="O463">
        <v>0</v>
      </c>
      <c r="P463" t="s">
        <v>79</v>
      </c>
      <c r="Q463" t="s">
        <v>109</v>
      </c>
      <c r="R463">
        <v>1</v>
      </c>
      <c r="S463">
        <v>4</v>
      </c>
      <c r="T463" t="s">
        <v>74</v>
      </c>
      <c r="U463" t="s">
        <v>68</v>
      </c>
      <c r="V463" t="s">
        <v>96</v>
      </c>
      <c r="W463" s="3">
        <v>45540</v>
      </c>
      <c r="X463" t="b">
        <v>0</v>
      </c>
      <c r="Y463" t="b">
        <v>0</v>
      </c>
      <c r="Z463" t="s">
        <v>70</v>
      </c>
      <c r="AA463" t="s">
        <v>71</v>
      </c>
      <c r="AB463">
        <v>7</v>
      </c>
      <c r="AO463" t="str">
        <f t="shared" si="24"/>
        <v>26-40</v>
      </c>
      <c r="BD463">
        <v>9</v>
      </c>
      <c r="BF463" cm="1">
        <f t="array" ref="BF463">CORREL(J463:J1463,S463:S1463)</f>
        <v>-0.0485231657893434</v>
      </c>
      <c r="BH463">
        <v>4</v>
      </c>
      <c r="BI463">
        <f t="shared" si="25"/>
        <v>2.25</v>
      </c>
      <c r="BJ463">
        <f t="shared" si="26"/>
        <v>1.77777777777778</v>
      </c>
    </row>
    <row r="464" spans="1:62">
      <c r="A464" s="1">
        <v>248784507</v>
      </c>
      <c r="B464">
        <v>34</v>
      </c>
      <c r="C464" t="s">
        <v>73</v>
      </c>
      <c r="D464" t="s">
        <v>74</v>
      </c>
      <c r="E464" t="s">
        <v>103</v>
      </c>
      <c r="F464" t="s">
        <v>62</v>
      </c>
      <c r="G464" t="s">
        <v>60</v>
      </c>
      <c r="H464" t="s">
        <v>621</v>
      </c>
      <c r="I464" t="s">
        <v>171</v>
      </c>
      <c r="J464" s="2">
        <v>327.05</v>
      </c>
      <c r="K464">
        <v>9</v>
      </c>
      <c r="L464" t="s">
        <v>65</v>
      </c>
      <c r="M464">
        <v>5</v>
      </c>
      <c r="N464">
        <v>4</v>
      </c>
      <c r="O464">
        <v>0</v>
      </c>
      <c r="P464" t="s">
        <v>84</v>
      </c>
      <c r="Q464" t="s">
        <v>67</v>
      </c>
      <c r="R464">
        <v>2</v>
      </c>
      <c r="S464">
        <v>3</v>
      </c>
      <c r="T464" t="s">
        <v>74</v>
      </c>
      <c r="U464" t="s">
        <v>105</v>
      </c>
      <c r="V464" t="s">
        <v>110</v>
      </c>
      <c r="W464" s="3">
        <v>45510</v>
      </c>
      <c r="X464" t="b">
        <v>0</v>
      </c>
      <c r="Y464" t="b">
        <v>1</v>
      </c>
      <c r="Z464" t="s">
        <v>70</v>
      </c>
      <c r="AA464" t="s">
        <v>71</v>
      </c>
      <c r="AB464">
        <v>7</v>
      </c>
      <c r="AO464" t="str">
        <f t="shared" si="24"/>
        <v>26-40</v>
      </c>
      <c r="BD464">
        <v>9</v>
      </c>
      <c r="BF464" cm="1">
        <f t="array" ref="BF464">CORREL(J464:J1464,S464:S1464)</f>
        <v>-0.0480995387360533</v>
      </c>
      <c r="BH464">
        <v>3</v>
      </c>
      <c r="BI464">
        <f t="shared" si="25"/>
        <v>3</v>
      </c>
      <c r="BJ464">
        <f t="shared" si="26"/>
        <v>1</v>
      </c>
    </row>
    <row r="465" spans="1:62">
      <c r="A465" s="1">
        <v>221068347</v>
      </c>
      <c r="B465">
        <v>48</v>
      </c>
      <c r="C465" t="s">
        <v>73</v>
      </c>
      <c r="D465" t="s">
        <v>74</v>
      </c>
      <c r="E465" t="s">
        <v>103</v>
      </c>
      <c r="F465" t="s">
        <v>87</v>
      </c>
      <c r="G465" t="s">
        <v>60</v>
      </c>
      <c r="H465" t="s">
        <v>622</v>
      </c>
      <c r="I465" t="s">
        <v>137</v>
      </c>
      <c r="J465" s="2">
        <v>334.45</v>
      </c>
      <c r="K465">
        <v>2</v>
      </c>
      <c r="L465" t="s">
        <v>78</v>
      </c>
      <c r="M465">
        <v>2</v>
      </c>
      <c r="N465">
        <v>5</v>
      </c>
      <c r="O465">
        <v>0</v>
      </c>
      <c r="P465" t="s">
        <v>79</v>
      </c>
      <c r="Q465" t="s">
        <v>80</v>
      </c>
      <c r="R465">
        <v>2</v>
      </c>
      <c r="S465">
        <v>9</v>
      </c>
      <c r="T465" t="s">
        <v>74</v>
      </c>
      <c r="U465" t="s">
        <v>68</v>
      </c>
      <c r="V465" t="s">
        <v>69</v>
      </c>
      <c r="W465" s="3">
        <v>45461</v>
      </c>
      <c r="X465" t="b">
        <v>1</v>
      </c>
      <c r="Y465" t="b">
        <v>0</v>
      </c>
      <c r="Z465" t="s">
        <v>92</v>
      </c>
      <c r="AA465" t="s">
        <v>71</v>
      </c>
      <c r="AB465">
        <v>6</v>
      </c>
      <c r="AO465" t="str">
        <f t="shared" si="24"/>
        <v>41-60</v>
      </c>
      <c r="BD465">
        <v>2</v>
      </c>
      <c r="BF465" cm="1">
        <f t="array" ref="BF465">CORREL(J465:J1465,S465:S1465)</f>
        <v>-0.0475365891148308</v>
      </c>
      <c r="BH465">
        <v>9</v>
      </c>
      <c r="BI465">
        <f t="shared" si="25"/>
        <v>0.222222222222222</v>
      </c>
      <c r="BJ465">
        <f t="shared" si="26"/>
        <v>40.5</v>
      </c>
    </row>
    <row r="466" spans="1:62">
      <c r="A466" s="1">
        <v>814790790</v>
      </c>
      <c r="B466">
        <v>19</v>
      </c>
      <c r="C466" t="s">
        <v>73</v>
      </c>
      <c r="D466" t="s">
        <v>74</v>
      </c>
      <c r="E466" t="s">
        <v>86</v>
      </c>
      <c r="F466" t="s">
        <v>62</v>
      </c>
      <c r="G466" t="s">
        <v>60</v>
      </c>
      <c r="H466" t="s">
        <v>623</v>
      </c>
      <c r="I466" t="s">
        <v>77</v>
      </c>
      <c r="J466" s="2">
        <v>366.16</v>
      </c>
      <c r="K466">
        <v>12</v>
      </c>
      <c r="L466" t="s">
        <v>65</v>
      </c>
      <c r="M466">
        <v>4</v>
      </c>
      <c r="N466">
        <v>4</v>
      </c>
      <c r="O466">
        <v>2</v>
      </c>
      <c r="P466" t="s">
        <v>79</v>
      </c>
      <c r="Q466" t="s">
        <v>67</v>
      </c>
      <c r="R466">
        <v>1</v>
      </c>
      <c r="S466">
        <v>5</v>
      </c>
      <c r="T466" t="s">
        <v>84</v>
      </c>
      <c r="U466" t="s">
        <v>105</v>
      </c>
      <c r="V466" t="s">
        <v>69</v>
      </c>
      <c r="W466" s="3">
        <v>45530</v>
      </c>
      <c r="X466" t="b">
        <v>0</v>
      </c>
      <c r="Y466" t="b">
        <v>0</v>
      </c>
      <c r="Z466" t="s">
        <v>70</v>
      </c>
      <c r="AA466" t="s">
        <v>71</v>
      </c>
      <c r="AB466">
        <v>4</v>
      </c>
      <c r="AO466" t="str">
        <f t="shared" si="24"/>
        <v>18-25</v>
      </c>
      <c r="BD466">
        <v>12</v>
      </c>
      <c r="BF466" cm="1">
        <f t="array" ref="BF466">CORREL(J466:J1466,S466:S1466)</f>
        <v>-0.0486264906471655</v>
      </c>
      <c r="BH466">
        <v>5</v>
      </c>
      <c r="BI466">
        <f t="shared" si="25"/>
        <v>2.4</v>
      </c>
      <c r="BJ466">
        <f t="shared" si="26"/>
        <v>2.08333333333333</v>
      </c>
    </row>
    <row r="467" spans="1:62">
      <c r="A467" s="4" t="s">
        <v>624</v>
      </c>
      <c r="B467">
        <v>37</v>
      </c>
      <c r="C467" t="s">
        <v>59</v>
      </c>
      <c r="D467" t="s">
        <v>74</v>
      </c>
      <c r="E467" t="s">
        <v>98</v>
      </c>
      <c r="F467" t="s">
        <v>62</v>
      </c>
      <c r="G467" t="s">
        <v>60</v>
      </c>
      <c r="H467" t="s">
        <v>625</v>
      </c>
      <c r="I467" t="s">
        <v>156</v>
      </c>
      <c r="J467" s="2">
        <v>481.78</v>
      </c>
      <c r="K467">
        <v>8</v>
      </c>
      <c r="L467" t="s">
        <v>78</v>
      </c>
      <c r="M467">
        <v>5</v>
      </c>
      <c r="N467">
        <v>2</v>
      </c>
      <c r="O467">
        <v>0</v>
      </c>
      <c r="P467" t="s">
        <v>79</v>
      </c>
      <c r="Q467" t="s">
        <v>109</v>
      </c>
      <c r="R467">
        <v>2</v>
      </c>
      <c r="S467">
        <v>4</v>
      </c>
      <c r="T467" t="s">
        <v>84</v>
      </c>
      <c r="U467" t="s">
        <v>68</v>
      </c>
      <c r="V467" t="s">
        <v>91</v>
      </c>
      <c r="W467" s="3">
        <v>45406</v>
      </c>
      <c r="X467" t="b">
        <v>1</v>
      </c>
      <c r="Y467" t="b">
        <v>1</v>
      </c>
      <c r="Z467" t="s">
        <v>82</v>
      </c>
      <c r="AA467" t="s">
        <v>97</v>
      </c>
      <c r="AB467">
        <v>1</v>
      </c>
      <c r="AO467" t="str">
        <f t="shared" si="24"/>
        <v>26-40</v>
      </c>
      <c r="BD467">
        <v>8</v>
      </c>
      <c r="BF467" cm="1">
        <f t="array" ref="BF467">CORREL(J467:J1467,S467:S1467)</f>
        <v>-0.0484478333867335</v>
      </c>
      <c r="BH467">
        <v>4</v>
      </c>
      <c r="BI467">
        <f t="shared" si="25"/>
        <v>2</v>
      </c>
      <c r="BJ467">
        <f t="shared" si="26"/>
        <v>2</v>
      </c>
    </row>
    <row r="468" spans="1:62">
      <c r="A468" s="1">
        <v>366322460</v>
      </c>
      <c r="B468">
        <v>23</v>
      </c>
      <c r="C468" t="s">
        <v>59</v>
      </c>
      <c r="D468" t="s">
        <v>74</v>
      </c>
      <c r="E468" t="s">
        <v>98</v>
      </c>
      <c r="F468" t="s">
        <v>62</v>
      </c>
      <c r="G468" t="s">
        <v>60</v>
      </c>
      <c r="H468" t="s">
        <v>626</v>
      </c>
      <c r="I468" t="s">
        <v>64</v>
      </c>
      <c r="J468" s="2">
        <v>131.48</v>
      </c>
      <c r="K468">
        <v>8</v>
      </c>
      <c r="L468" t="s">
        <v>65</v>
      </c>
      <c r="M468">
        <v>3</v>
      </c>
      <c r="N468">
        <v>5</v>
      </c>
      <c r="O468">
        <v>0</v>
      </c>
      <c r="P468" t="s">
        <v>66</v>
      </c>
      <c r="Q468" t="s">
        <v>67</v>
      </c>
      <c r="R468">
        <v>2</v>
      </c>
      <c r="S468">
        <v>1</v>
      </c>
      <c r="T468" t="s">
        <v>84</v>
      </c>
      <c r="U468" t="s">
        <v>68</v>
      </c>
      <c r="V468" t="s">
        <v>69</v>
      </c>
      <c r="W468" s="3">
        <v>45512</v>
      </c>
      <c r="X468" t="b">
        <v>1</v>
      </c>
      <c r="Y468" t="b">
        <v>1</v>
      </c>
      <c r="Z468" t="s">
        <v>82</v>
      </c>
      <c r="AA468" t="s">
        <v>71</v>
      </c>
      <c r="AB468">
        <v>12</v>
      </c>
      <c r="AO468" t="str">
        <f t="shared" si="24"/>
        <v>18-25</v>
      </c>
      <c r="BD468">
        <v>8</v>
      </c>
      <c r="BF468" cm="1">
        <f t="array" ref="BF468">CORREL(J468:J1468,S468:S1468)</f>
        <v>-0.0470654798135175</v>
      </c>
      <c r="BH468">
        <v>1</v>
      </c>
      <c r="BI468">
        <f t="shared" si="25"/>
        <v>8</v>
      </c>
      <c r="BJ468">
        <f t="shared" si="26"/>
        <v>0.125</v>
      </c>
    </row>
    <row r="469" spans="1:62">
      <c r="A469" s="1">
        <v>327997704</v>
      </c>
      <c r="B469">
        <v>34</v>
      </c>
      <c r="C469" t="s">
        <v>59</v>
      </c>
      <c r="D469" t="s">
        <v>74</v>
      </c>
      <c r="E469" t="s">
        <v>98</v>
      </c>
      <c r="F469" t="s">
        <v>87</v>
      </c>
      <c r="G469" t="s">
        <v>74</v>
      </c>
      <c r="H469" t="s">
        <v>627</v>
      </c>
      <c r="I469" t="s">
        <v>122</v>
      </c>
      <c r="J469" s="2">
        <v>402.86</v>
      </c>
      <c r="K469">
        <v>11</v>
      </c>
      <c r="L469" t="s">
        <v>78</v>
      </c>
      <c r="M469">
        <v>3</v>
      </c>
      <c r="N469">
        <v>5</v>
      </c>
      <c r="O469">
        <v>1</v>
      </c>
      <c r="P469" t="s">
        <v>74</v>
      </c>
      <c r="Q469" t="s">
        <v>80</v>
      </c>
      <c r="R469">
        <v>0</v>
      </c>
      <c r="S469">
        <v>2</v>
      </c>
      <c r="T469" t="s">
        <v>66</v>
      </c>
      <c r="U469" t="s">
        <v>105</v>
      </c>
      <c r="V469" t="s">
        <v>110</v>
      </c>
      <c r="W469" s="3">
        <v>45540</v>
      </c>
      <c r="X469" t="b">
        <v>0</v>
      </c>
      <c r="Y469" t="b">
        <v>0</v>
      </c>
      <c r="Z469" t="s">
        <v>92</v>
      </c>
      <c r="AA469" t="s">
        <v>83</v>
      </c>
      <c r="AB469">
        <v>8</v>
      </c>
      <c r="AO469" t="str">
        <f t="shared" si="24"/>
        <v>26-40</v>
      </c>
      <c r="BD469">
        <v>11</v>
      </c>
      <c r="BF469" cm="1">
        <f t="array" ref="BF469">CORREL(J469:J1469,S469:S1469)</f>
        <v>-0.05055910842181</v>
      </c>
      <c r="BH469">
        <v>2</v>
      </c>
      <c r="BI469">
        <f t="shared" si="25"/>
        <v>5.5</v>
      </c>
      <c r="BJ469">
        <f t="shared" si="26"/>
        <v>0.363636363636364</v>
      </c>
    </row>
    <row r="470" spans="1:62">
      <c r="A470" s="4" t="s">
        <v>628</v>
      </c>
      <c r="B470">
        <v>42</v>
      </c>
      <c r="C470" t="s">
        <v>73</v>
      </c>
      <c r="D470" t="s">
        <v>74</v>
      </c>
      <c r="E470" t="s">
        <v>86</v>
      </c>
      <c r="F470" t="s">
        <v>62</v>
      </c>
      <c r="G470" t="s">
        <v>60</v>
      </c>
      <c r="H470" t="s">
        <v>629</v>
      </c>
      <c r="I470" t="s">
        <v>64</v>
      </c>
      <c r="J470" s="2">
        <v>333.18</v>
      </c>
      <c r="K470">
        <v>6</v>
      </c>
      <c r="L470" t="s">
        <v>78</v>
      </c>
      <c r="M470">
        <v>1</v>
      </c>
      <c r="N470">
        <v>1</v>
      </c>
      <c r="O470">
        <v>0</v>
      </c>
      <c r="P470" t="s">
        <v>79</v>
      </c>
      <c r="Q470" t="s">
        <v>109</v>
      </c>
      <c r="R470">
        <v>2</v>
      </c>
      <c r="S470">
        <v>5</v>
      </c>
      <c r="T470" t="s">
        <v>84</v>
      </c>
      <c r="U470" t="s">
        <v>90</v>
      </c>
      <c r="V470" t="s">
        <v>96</v>
      </c>
      <c r="W470" s="3">
        <v>45398</v>
      </c>
      <c r="X470" t="b">
        <v>1</v>
      </c>
      <c r="Y470" t="b">
        <v>0</v>
      </c>
      <c r="Z470" t="s">
        <v>102</v>
      </c>
      <c r="AA470" t="s">
        <v>97</v>
      </c>
      <c r="AB470">
        <v>8</v>
      </c>
      <c r="AO470" t="str">
        <f t="shared" si="24"/>
        <v>41-60</v>
      </c>
      <c r="BD470">
        <v>6</v>
      </c>
      <c r="BF470" cm="1">
        <f t="array" ref="BF470">CORREL(J470:J1470,S470:S1470)</f>
        <v>-0.0484618920975936</v>
      </c>
      <c r="BH470">
        <v>5</v>
      </c>
      <c r="BI470">
        <f t="shared" si="25"/>
        <v>1.2</v>
      </c>
      <c r="BJ470">
        <f t="shared" si="26"/>
        <v>4.16666666666667</v>
      </c>
    </row>
    <row r="471" spans="1:62">
      <c r="A471" s="1">
        <v>877276434</v>
      </c>
      <c r="B471">
        <v>28</v>
      </c>
      <c r="C471" t="s">
        <v>59</v>
      </c>
      <c r="D471" t="s">
        <v>74</v>
      </c>
      <c r="E471" t="s">
        <v>98</v>
      </c>
      <c r="F471" t="s">
        <v>87</v>
      </c>
      <c r="G471" t="s">
        <v>60</v>
      </c>
      <c r="H471" t="s">
        <v>630</v>
      </c>
      <c r="I471" t="s">
        <v>143</v>
      </c>
      <c r="J471" s="2">
        <v>73.23</v>
      </c>
      <c r="K471">
        <v>8</v>
      </c>
      <c r="L471" t="s">
        <v>85</v>
      </c>
      <c r="M471">
        <v>2</v>
      </c>
      <c r="N471">
        <v>2</v>
      </c>
      <c r="O471">
        <v>2</v>
      </c>
      <c r="P471" t="s">
        <v>84</v>
      </c>
      <c r="Q471" t="s">
        <v>109</v>
      </c>
      <c r="R471">
        <v>1</v>
      </c>
      <c r="S471">
        <v>2</v>
      </c>
      <c r="T471" t="s">
        <v>84</v>
      </c>
      <c r="U471" t="s">
        <v>90</v>
      </c>
      <c r="V471" t="s">
        <v>69</v>
      </c>
      <c r="W471" s="3">
        <v>45490</v>
      </c>
      <c r="X471" t="b">
        <v>1</v>
      </c>
      <c r="Y471" t="b">
        <v>1</v>
      </c>
      <c r="Z471" t="s">
        <v>70</v>
      </c>
      <c r="AA471" t="s">
        <v>71</v>
      </c>
      <c r="AB471">
        <v>6</v>
      </c>
      <c r="AO471" t="str">
        <f t="shared" si="24"/>
        <v>26-40</v>
      </c>
      <c r="BD471">
        <v>8</v>
      </c>
      <c r="BF471" cm="1">
        <f t="array" ref="BF471">CORREL(J471:J1471,S471:S1471)</f>
        <v>-0.0483388106259778</v>
      </c>
      <c r="BH471">
        <v>2</v>
      </c>
      <c r="BI471">
        <f t="shared" si="25"/>
        <v>4</v>
      </c>
      <c r="BJ471">
        <f t="shared" si="26"/>
        <v>0.5</v>
      </c>
    </row>
    <row r="472" spans="1:62">
      <c r="A472" s="1">
        <v>187939543</v>
      </c>
      <c r="B472">
        <v>28</v>
      </c>
      <c r="C472" t="s">
        <v>73</v>
      </c>
      <c r="D472" t="s">
        <v>74</v>
      </c>
      <c r="E472" t="s">
        <v>103</v>
      </c>
      <c r="F472" t="s">
        <v>87</v>
      </c>
      <c r="G472" t="s">
        <v>60</v>
      </c>
      <c r="H472" t="s">
        <v>631</v>
      </c>
      <c r="I472" t="s">
        <v>100</v>
      </c>
      <c r="J472" s="2">
        <v>450.47</v>
      </c>
      <c r="K472">
        <v>11</v>
      </c>
      <c r="L472" t="s">
        <v>85</v>
      </c>
      <c r="M472">
        <v>5</v>
      </c>
      <c r="N472">
        <v>2</v>
      </c>
      <c r="O472">
        <v>2</v>
      </c>
      <c r="P472" t="s">
        <v>66</v>
      </c>
      <c r="Q472" t="s">
        <v>80</v>
      </c>
      <c r="R472">
        <v>2</v>
      </c>
      <c r="S472">
        <v>3</v>
      </c>
      <c r="T472" t="s">
        <v>66</v>
      </c>
      <c r="U472" t="s">
        <v>90</v>
      </c>
      <c r="V472" t="s">
        <v>69</v>
      </c>
      <c r="W472" s="3">
        <v>45369</v>
      </c>
      <c r="X472" t="b">
        <v>1</v>
      </c>
      <c r="Y472" t="b">
        <v>1</v>
      </c>
      <c r="Z472" t="s">
        <v>82</v>
      </c>
      <c r="AA472" t="s">
        <v>97</v>
      </c>
      <c r="AB472">
        <v>10</v>
      </c>
      <c r="AO472" t="str">
        <f t="shared" si="24"/>
        <v>26-40</v>
      </c>
      <c r="BD472">
        <v>11</v>
      </c>
      <c r="BF472" cm="1">
        <f t="array" ref="BF472">CORREL(J472:J1472,S472:S1472)</f>
        <v>-0.0521638237544828</v>
      </c>
      <c r="BH472">
        <v>3</v>
      </c>
      <c r="BI472">
        <f t="shared" si="25"/>
        <v>3.66666666666667</v>
      </c>
      <c r="BJ472">
        <f t="shared" si="26"/>
        <v>0.818181818181818</v>
      </c>
    </row>
    <row r="473" spans="1:62">
      <c r="A473" s="1">
        <v>636255757</v>
      </c>
      <c r="B473">
        <v>33</v>
      </c>
      <c r="C473" t="s">
        <v>73</v>
      </c>
      <c r="D473" t="s">
        <v>60</v>
      </c>
      <c r="E473" t="s">
        <v>86</v>
      </c>
      <c r="F473" t="s">
        <v>75</v>
      </c>
      <c r="G473" t="s">
        <v>74</v>
      </c>
      <c r="H473" t="s">
        <v>632</v>
      </c>
      <c r="I473" t="s">
        <v>77</v>
      </c>
      <c r="J473" s="2">
        <v>175.74</v>
      </c>
      <c r="K473">
        <v>5</v>
      </c>
      <c r="L473" t="s">
        <v>85</v>
      </c>
      <c r="M473">
        <v>5</v>
      </c>
      <c r="N473">
        <v>4</v>
      </c>
      <c r="O473">
        <v>1</v>
      </c>
      <c r="P473" t="s">
        <v>79</v>
      </c>
      <c r="Q473" t="s">
        <v>80</v>
      </c>
      <c r="R473">
        <v>0</v>
      </c>
      <c r="S473">
        <v>6</v>
      </c>
      <c r="T473" t="s">
        <v>66</v>
      </c>
      <c r="U473" t="s">
        <v>68</v>
      </c>
      <c r="V473" t="s">
        <v>110</v>
      </c>
      <c r="W473" s="3">
        <v>45491</v>
      </c>
      <c r="X473" t="b">
        <v>0</v>
      </c>
      <c r="Y473" t="b">
        <v>1</v>
      </c>
      <c r="Z473" t="s">
        <v>92</v>
      </c>
      <c r="AA473" t="s">
        <v>71</v>
      </c>
      <c r="AB473">
        <v>6</v>
      </c>
      <c r="AO473" t="str">
        <f t="shared" si="24"/>
        <v>26-40</v>
      </c>
      <c r="BD473">
        <v>5</v>
      </c>
      <c r="BF473" cm="1">
        <f t="array" ref="BF473">CORREL(J473:J1473,S473:S1473)</f>
        <v>-0.0500883394200105</v>
      </c>
      <c r="BH473">
        <v>6</v>
      </c>
      <c r="BI473">
        <f t="shared" si="25"/>
        <v>0.833333333333333</v>
      </c>
      <c r="BJ473">
        <f t="shared" si="26"/>
        <v>7.2</v>
      </c>
    </row>
    <row r="474" spans="1:62">
      <c r="A474" s="1">
        <v>934134758</v>
      </c>
      <c r="B474">
        <v>31</v>
      </c>
      <c r="C474" t="s">
        <v>59</v>
      </c>
      <c r="D474" t="s">
        <v>60</v>
      </c>
      <c r="E474" t="s">
        <v>86</v>
      </c>
      <c r="F474" t="s">
        <v>87</v>
      </c>
      <c r="G474" t="s">
        <v>74</v>
      </c>
      <c r="H474" t="s">
        <v>633</v>
      </c>
      <c r="I474" t="s">
        <v>124</v>
      </c>
      <c r="J474" s="2">
        <v>182.6</v>
      </c>
      <c r="K474">
        <v>4</v>
      </c>
      <c r="L474" t="s">
        <v>85</v>
      </c>
      <c r="M474">
        <v>5</v>
      </c>
      <c r="N474">
        <v>2</v>
      </c>
      <c r="O474">
        <v>0.3</v>
      </c>
      <c r="P474" t="s">
        <v>84</v>
      </c>
      <c r="Q474" t="s">
        <v>80</v>
      </c>
      <c r="R474">
        <v>2</v>
      </c>
      <c r="S474">
        <v>9</v>
      </c>
      <c r="T474" t="s">
        <v>74</v>
      </c>
      <c r="U474" t="s">
        <v>68</v>
      </c>
      <c r="V474" t="s">
        <v>81</v>
      </c>
      <c r="W474" s="3">
        <v>45443</v>
      </c>
      <c r="X474" t="b">
        <v>0</v>
      </c>
      <c r="Y474" t="b">
        <v>1</v>
      </c>
      <c r="Z474" t="s">
        <v>82</v>
      </c>
      <c r="AA474" t="s">
        <v>97</v>
      </c>
      <c r="AB474">
        <v>5</v>
      </c>
      <c r="AO474" t="str">
        <f t="shared" si="24"/>
        <v>26-40</v>
      </c>
      <c r="BD474">
        <v>4</v>
      </c>
      <c r="BF474" cm="1">
        <f t="array" ref="BF474">CORREL(J474:J1474,S474:S1474)</f>
        <v>-0.0498440269438517</v>
      </c>
      <c r="BH474">
        <v>9</v>
      </c>
      <c r="BI474">
        <f t="shared" si="25"/>
        <v>0.444444444444444</v>
      </c>
      <c r="BJ474">
        <f t="shared" si="26"/>
        <v>20.25</v>
      </c>
    </row>
    <row r="475" spans="1:62">
      <c r="A475" s="1">
        <v>156637994</v>
      </c>
      <c r="B475">
        <v>20</v>
      </c>
      <c r="C475" t="s">
        <v>59</v>
      </c>
      <c r="D475" t="s">
        <v>60</v>
      </c>
      <c r="E475" t="s">
        <v>98</v>
      </c>
      <c r="F475" t="s">
        <v>62</v>
      </c>
      <c r="G475" t="s">
        <v>74</v>
      </c>
      <c r="H475" t="s">
        <v>634</v>
      </c>
      <c r="I475" t="s">
        <v>209</v>
      </c>
      <c r="J475" s="2">
        <v>497.8</v>
      </c>
      <c r="K475">
        <v>2</v>
      </c>
      <c r="L475" t="s">
        <v>85</v>
      </c>
      <c r="M475">
        <v>3</v>
      </c>
      <c r="N475">
        <v>5</v>
      </c>
      <c r="O475">
        <v>0.2</v>
      </c>
      <c r="P475" t="s">
        <v>74</v>
      </c>
      <c r="Q475" t="s">
        <v>67</v>
      </c>
      <c r="R475">
        <v>1</v>
      </c>
      <c r="S475">
        <v>2</v>
      </c>
      <c r="T475" t="s">
        <v>79</v>
      </c>
      <c r="U475" t="s">
        <v>90</v>
      </c>
      <c r="V475" t="s">
        <v>96</v>
      </c>
      <c r="W475" s="3">
        <v>45312</v>
      </c>
      <c r="X475" t="b">
        <v>1</v>
      </c>
      <c r="Y475" t="b">
        <v>0</v>
      </c>
      <c r="Z475" t="s">
        <v>82</v>
      </c>
      <c r="AA475" t="s">
        <v>71</v>
      </c>
      <c r="AB475">
        <v>9</v>
      </c>
      <c r="AO475" t="str">
        <f t="shared" si="24"/>
        <v>18-25</v>
      </c>
      <c r="BD475">
        <v>2</v>
      </c>
      <c r="BF475" cm="1">
        <f t="array" ref="BF475">CORREL(J475:J1475,S475:S1475)</f>
        <v>-0.0482094208076926</v>
      </c>
      <c r="BH475">
        <v>2</v>
      </c>
      <c r="BI475">
        <f t="shared" si="25"/>
        <v>1</v>
      </c>
      <c r="BJ475">
        <f t="shared" si="26"/>
        <v>2</v>
      </c>
    </row>
    <row r="476" spans="1:62">
      <c r="A476" s="1">
        <v>293194519</v>
      </c>
      <c r="B476">
        <v>32</v>
      </c>
      <c r="C476" t="s">
        <v>73</v>
      </c>
      <c r="D476" t="s">
        <v>74</v>
      </c>
      <c r="E476" t="s">
        <v>103</v>
      </c>
      <c r="F476" t="s">
        <v>75</v>
      </c>
      <c r="G476" t="s">
        <v>74</v>
      </c>
      <c r="H476" t="s">
        <v>635</v>
      </c>
      <c r="I476" t="s">
        <v>77</v>
      </c>
      <c r="J476" s="2">
        <v>171.17</v>
      </c>
      <c r="K476">
        <v>4</v>
      </c>
      <c r="L476" t="s">
        <v>78</v>
      </c>
      <c r="M476">
        <v>1</v>
      </c>
      <c r="N476">
        <v>3</v>
      </c>
      <c r="O476">
        <v>0</v>
      </c>
      <c r="P476" t="s">
        <v>74</v>
      </c>
      <c r="Q476" t="s">
        <v>67</v>
      </c>
      <c r="R476">
        <v>0</v>
      </c>
      <c r="S476">
        <v>4</v>
      </c>
      <c r="T476" t="s">
        <v>79</v>
      </c>
      <c r="U476" t="s">
        <v>105</v>
      </c>
      <c r="V476" t="s">
        <v>91</v>
      </c>
      <c r="W476" s="3">
        <v>45458</v>
      </c>
      <c r="X476" t="b">
        <v>0</v>
      </c>
      <c r="Y476" t="b">
        <v>1</v>
      </c>
      <c r="Z476" t="s">
        <v>82</v>
      </c>
      <c r="AA476" t="s">
        <v>83</v>
      </c>
      <c r="AB476">
        <v>12</v>
      </c>
      <c r="AO476" t="str">
        <f t="shared" ref="AO476:AO539" si="27">IF(B476&lt;=25,"18-25",IF(B476&lt;=40,"26-40",IF(B476&lt;=60,"41-60","Above60")))</f>
        <v>26-40</v>
      </c>
      <c r="BD476">
        <v>4</v>
      </c>
      <c r="BF476" cm="1">
        <f t="array" ref="BF476">CORREL(J476:J1476,S476:S1476)</f>
        <v>-0.044450696546966</v>
      </c>
      <c r="BH476">
        <v>4</v>
      </c>
      <c r="BI476">
        <f t="shared" si="25"/>
        <v>1</v>
      </c>
      <c r="BJ476">
        <f t="shared" si="26"/>
        <v>4</v>
      </c>
    </row>
    <row r="477" spans="1:62">
      <c r="A477" s="1">
        <v>403472903</v>
      </c>
      <c r="B477">
        <v>27</v>
      </c>
      <c r="C477" t="s">
        <v>59</v>
      </c>
      <c r="D477" t="s">
        <v>60</v>
      </c>
      <c r="E477" t="s">
        <v>86</v>
      </c>
      <c r="F477" t="s">
        <v>62</v>
      </c>
      <c r="G477" t="s">
        <v>74</v>
      </c>
      <c r="H477" t="s">
        <v>636</v>
      </c>
      <c r="I477" t="s">
        <v>209</v>
      </c>
      <c r="J477" s="2">
        <v>425.82</v>
      </c>
      <c r="K477">
        <v>3</v>
      </c>
      <c r="L477" t="s">
        <v>78</v>
      </c>
      <c r="M477">
        <v>4</v>
      </c>
      <c r="N477">
        <v>5</v>
      </c>
      <c r="O477">
        <v>1</v>
      </c>
      <c r="P477" t="s">
        <v>84</v>
      </c>
      <c r="Q477" t="s">
        <v>80</v>
      </c>
      <c r="R477">
        <v>1</v>
      </c>
      <c r="S477">
        <v>6</v>
      </c>
      <c r="T477" t="s">
        <v>74</v>
      </c>
      <c r="U477" t="s">
        <v>90</v>
      </c>
      <c r="V477" t="s">
        <v>110</v>
      </c>
      <c r="W477" s="3">
        <v>45401</v>
      </c>
      <c r="X477" t="b">
        <v>1</v>
      </c>
      <c r="Y477" t="b">
        <v>1</v>
      </c>
      <c r="Z477" t="s">
        <v>82</v>
      </c>
      <c r="AA477" t="s">
        <v>83</v>
      </c>
      <c r="AB477">
        <v>11</v>
      </c>
      <c r="AO477" t="str">
        <f t="shared" si="27"/>
        <v>26-40</v>
      </c>
      <c r="BD477">
        <v>3</v>
      </c>
      <c r="BF477" cm="1">
        <f t="array" ref="BF477">CORREL(J477:J1477,S477:S1477)</f>
        <v>-0.0453073564911645</v>
      </c>
      <c r="BH477">
        <v>6</v>
      </c>
      <c r="BI477">
        <f t="shared" si="25"/>
        <v>0.5</v>
      </c>
      <c r="BJ477">
        <f t="shared" si="26"/>
        <v>12</v>
      </c>
    </row>
    <row r="478" spans="1:62">
      <c r="A478" s="1">
        <v>184521635</v>
      </c>
      <c r="B478">
        <v>19</v>
      </c>
      <c r="C478" t="s">
        <v>59</v>
      </c>
      <c r="D478" t="s">
        <v>60</v>
      </c>
      <c r="E478" t="s">
        <v>98</v>
      </c>
      <c r="F478" t="s">
        <v>62</v>
      </c>
      <c r="G478" t="s">
        <v>60</v>
      </c>
      <c r="H478" t="s">
        <v>637</v>
      </c>
      <c r="I478" t="s">
        <v>113</v>
      </c>
      <c r="J478" s="2">
        <v>210.58</v>
      </c>
      <c r="K478">
        <v>10</v>
      </c>
      <c r="L478" t="s">
        <v>78</v>
      </c>
      <c r="M478">
        <v>5</v>
      </c>
      <c r="N478">
        <v>1</v>
      </c>
      <c r="O478">
        <v>2</v>
      </c>
      <c r="P478" t="s">
        <v>84</v>
      </c>
      <c r="Q478" t="s">
        <v>67</v>
      </c>
      <c r="R478">
        <v>1</v>
      </c>
      <c r="S478">
        <v>3</v>
      </c>
      <c r="T478" t="s">
        <v>84</v>
      </c>
      <c r="U478" t="s">
        <v>68</v>
      </c>
      <c r="V478" t="s">
        <v>91</v>
      </c>
      <c r="W478" s="3">
        <v>45547</v>
      </c>
      <c r="X478" t="b">
        <v>1</v>
      </c>
      <c r="Y478" t="b">
        <v>1</v>
      </c>
      <c r="Z478" t="s">
        <v>102</v>
      </c>
      <c r="AA478" t="s">
        <v>71</v>
      </c>
      <c r="AB478">
        <v>8</v>
      </c>
      <c r="AO478" t="str">
        <f t="shared" si="27"/>
        <v>18-25</v>
      </c>
      <c r="BD478">
        <v>10</v>
      </c>
      <c r="BF478" cm="1">
        <f t="array" ref="BF478">CORREL(J478:J1478,S478:S1478)</f>
        <v>-0.0457636651897691</v>
      </c>
      <c r="BH478">
        <v>3</v>
      </c>
      <c r="BI478">
        <f t="shared" si="25"/>
        <v>3.33333333333333</v>
      </c>
      <c r="BJ478">
        <f t="shared" si="26"/>
        <v>0.9</v>
      </c>
    </row>
    <row r="479" spans="1:62">
      <c r="A479" s="1">
        <v>477105471</v>
      </c>
      <c r="B479">
        <v>50</v>
      </c>
      <c r="C479" t="s">
        <v>73</v>
      </c>
      <c r="D479" t="s">
        <v>60</v>
      </c>
      <c r="E479" t="s">
        <v>86</v>
      </c>
      <c r="F479" t="s">
        <v>75</v>
      </c>
      <c r="G479" t="s">
        <v>60</v>
      </c>
      <c r="H479" t="s">
        <v>638</v>
      </c>
      <c r="I479" t="s">
        <v>174</v>
      </c>
      <c r="J479" s="2">
        <v>199.64</v>
      </c>
      <c r="K479">
        <v>11</v>
      </c>
      <c r="L479" t="s">
        <v>85</v>
      </c>
      <c r="M479">
        <v>5</v>
      </c>
      <c r="N479">
        <v>4</v>
      </c>
      <c r="O479">
        <v>1</v>
      </c>
      <c r="P479" t="s">
        <v>74</v>
      </c>
      <c r="Q479" t="s">
        <v>67</v>
      </c>
      <c r="R479">
        <v>1</v>
      </c>
      <c r="S479">
        <v>5</v>
      </c>
      <c r="T479" t="s">
        <v>74</v>
      </c>
      <c r="U479" t="s">
        <v>105</v>
      </c>
      <c r="V479" t="s">
        <v>81</v>
      </c>
      <c r="W479" s="3">
        <v>45539</v>
      </c>
      <c r="X479" t="b">
        <v>0</v>
      </c>
      <c r="Y479" t="b">
        <v>1</v>
      </c>
      <c r="Z479" t="s">
        <v>102</v>
      </c>
      <c r="AA479" t="s">
        <v>97</v>
      </c>
      <c r="AB479">
        <v>8</v>
      </c>
      <c r="AO479" t="str">
        <f t="shared" si="27"/>
        <v>41-60</v>
      </c>
      <c r="BD479">
        <v>11</v>
      </c>
      <c r="BF479" cm="1">
        <f t="array" ref="BF479">CORREL(J479:J1479,S479:S1479)</f>
        <v>-0.0466741499561776</v>
      </c>
      <c r="BH479">
        <v>5</v>
      </c>
      <c r="BI479">
        <f t="shared" si="25"/>
        <v>2.2</v>
      </c>
      <c r="BJ479">
        <f t="shared" si="26"/>
        <v>2.27272727272727</v>
      </c>
    </row>
    <row r="480" spans="1:62">
      <c r="A480" s="1">
        <v>881677129</v>
      </c>
      <c r="B480">
        <v>40</v>
      </c>
      <c r="C480" t="s">
        <v>188</v>
      </c>
      <c r="D480" t="s">
        <v>74</v>
      </c>
      <c r="E480" t="s">
        <v>61</v>
      </c>
      <c r="F480" t="s">
        <v>62</v>
      </c>
      <c r="G480" t="s">
        <v>60</v>
      </c>
      <c r="H480" t="s">
        <v>639</v>
      </c>
      <c r="I480" t="s">
        <v>129</v>
      </c>
      <c r="J480" s="2">
        <v>162.22</v>
      </c>
      <c r="K480">
        <v>10</v>
      </c>
      <c r="L480" t="s">
        <v>78</v>
      </c>
      <c r="M480">
        <v>5</v>
      </c>
      <c r="N480">
        <v>5</v>
      </c>
      <c r="O480">
        <v>0.2</v>
      </c>
      <c r="P480" t="s">
        <v>74</v>
      </c>
      <c r="Q480" t="s">
        <v>67</v>
      </c>
      <c r="R480">
        <v>1</v>
      </c>
      <c r="S480">
        <v>1</v>
      </c>
      <c r="T480" t="s">
        <v>79</v>
      </c>
      <c r="U480" t="s">
        <v>105</v>
      </c>
      <c r="V480" t="s">
        <v>96</v>
      </c>
      <c r="W480" s="3">
        <v>45410</v>
      </c>
      <c r="X480" t="b">
        <v>1</v>
      </c>
      <c r="Y480" t="b">
        <v>1</v>
      </c>
      <c r="Z480" t="s">
        <v>82</v>
      </c>
      <c r="AA480" t="s">
        <v>71</v>
      </c>
      <c r="AB480">
        <v>8</v>
      </c>
      <c r="AO480" t="str">
        <f t="shared" si="27"/>
        <v>26-40</v>
      </c>
      <c r="BD480">
        <v>10</v>
      </c>
      <c r="BF480" cm="1">
        <f t="array" ref="BF480">CORREL(J480:J1480,S480:S1480)</f>
        <v>-0.0468878468259337</v>
      </c>
      <c r="BH480">
        <v>1</v>
      </c>
      <c r="BI480">
        <f t="shared" si="25"/>
        <v>10</v>
      </c>
      <c r="BJ480">
        <f t="shared" si="26"/>
        <v>0.1</v>
      </c>
    </row>
    <row r="481" spans="1:62">
      <c r="A481" s="1">
        <v>867719082</v>
      </c>
      <c r="B481">
        <v>20</v>
      </c>
      <c r="C481" t="s">
        <v>73</v>
      </c>
      <c r="D481" t="s">
        <v>74</v>
      </c>
      <c r="E481" t="s">
        <v>61</v>
      </c>
      <c r="F481" t="s">
        <v>62</v>
      </c>
      <c r="G481" t="s">
        <v>74</v>
      </c>
      <c r="H481" t="s">
        <v>640</v>
      </c>
      <c r="I481" t="s">
        <v>113</v>
      </c>
      <c r="J481" s="2">
        <v>401.75</v>
      </c>
      <c r="K481">
        <v>8</v>
      </c>
      <c r="L481" t="s">
        <v>85</v>
      </c>
      <c r="M481">
        <v>3</v>
      </c>
      <c r="N481">
        <v>4</v>
      </c>
      <c r="O481">
        <v>0.3</v>
      </c>
      <c r="P481" t="s">
        <v>66</v>
      </c>
      <c r="Q481" t="s">
        <v>67</v>
      </c>
      <c r="R481">
        <v>1</v>
      </c>
      <c r="S481">
        <v>8</v>
      </c>
      <c r="T481" t="s">
        <v>74</v>
      </c>
      <c r="U481" t="s">
        <v>90</v>
      </c>
      <c r="V481" t="s">
        <v>81</v>
      </c>
      <c r="W481" s="3">
        <v>45634</v>
      </c>
      <c r="X481" t="b">
        <v>0</v>
      </c>
      <c r="Y481" t="b">
        <v>1</v>
      </c>
      <c r="Z481" t="s">
        <v>82</v>
      </c>
      <c r="AA481" t="s">
        <v>83</v>
      </c>
      <c r="AB481">
        <v>6</v>
      </c>
      <c r="AO481" t="str">
        <f t="shared" si="27"/>
        <v>18-25</v>
      </c>
      <c r="BD481">
        <v>8</v>
      </c>
      <c r="BF481" cm="1">
        <f t="array" ref="BF481">CORREL(J481:J1481,S481:S1481)</f>
        <v>-0.0497482950903242</v>
      </c>
      <c r="BH481">
        <v>8</v>
      </c>
      <c r="BI481">
        <f t="shared" si="25"/>
        <v>1</v>
      </c>
      <c r="BJ481">
        <f t="shared" si="26"/>
        <v>8</v>
      </c>
    </row>
    <row r="482" spans="1:62">
      <c r="A482" s="1">
        <v>466784172</v>
      </c>
      <c r="B482">
        <v>24</v>
      </c>
      <c r="C482" t="s">
        <v>59</v>
      </c>
      <c r="D482" t="s">
        <v>60</v>
      </c>
      <c r="E482" t="s">
        <v>61</v>
      </c>
      <c r="F482" t="s">
        <v>87</v>
      </c>
      <c r="G482" t="s">
        <v>60</v>
      </c>
      <c r="H482" t="s">
        <v>641</v>
      </c>
      <c r="I482" t="s">
        <v>118</v>
      </c>
      <c r="J482" s="2">
        <v>365.88</v>
      </c>
      <c r="K482">
        <v>12</v>
      </c>
      <c r="L482" t="s">
        <v>85</v>
      </c>
      <c r="M482">
        <v>3</v>
      </c>
      <c r="N482">
        <v>3</v>
      </c>
      <c r="O482">
        <v>2</v>
      </c>
      <c r="P482" t="s">
        <v>79</v>
      </c>
      <c r="Q482" t="s">
        <v>109</v>
      </c>
      <c r="R482">
        <v>0</v>
      </c>
      <c r="S482">
        <v>9</v>
      </c>
      <c r="T482" t="s">
        <v>74</v>
      </c>
      <c r="U482" t="s">
        <v>90</v>
      </c>
      <c r="V482" t="s">
        <v>96</v>
      </c>
      <c r="W482" s="3">
        <v>45601</v>
      </c>
      <c r="X482" t="b">
        <v>1</v>
      </c>
      <c r="Y482" t="b">
        <v>0</v>
      </c>
      <c r="Z482" t="s">
        <v>70</v>
      </c>
      <c r="AA482" t="s">
        <v>97</v>
      </c>
      <c r="AB482">
        <v>7</v>
      </c>
      <c r="AO482" t="str">
        <f t="shared" si="27"/>
        <v>18-25</v>
      </c>
      <c r="BD482">
        <v>12</v>
      </c>
      <c r="BF482" cm="1">
        <f t="array" ref="BF482">CORREL(J482:J1482,S482:S1482)</f>
        <v>-0.0514515603351362</v>
      </c>
      <c r="BH482">
        <v>9</v>
      </c>
      <c r="BI482">
        <f t="shared" si="25"/>
        <v>1.33333333333333</v>
      </c>
      <c r="BJ482">
        <f t="shared" si="26"/>
        <v>6.75</v>
      </c>
    </row>
    <row r="483" spans="1:62">
      <c r="A483" s="1">
        <v>142491256</v>
      </c>
      <c r="B483">
        <v>46</v>
      </c>
      <c r="C483" t="s">
        <v>73</v>
      </c>
      <c r="D483" t="s">
        <v>60</v>
      </c>
      <c r="E483" t="s">
        <v>86</v>
      </c>
      <c r="F483" t="s">
        <v>75</v>
      </c>
      <c r="G483" t="s">
        <v>60</v>
      </c>
      <c r="H483" t="s">
        <v>642</v>
      </c>
      <c r="I483" t="s">
        <v>174</v>
      </c>
      <c r="J483" s="2">
        <v>58.29</v>
      </c>
      <c r="K483">
        <v>6</v>
      </c>
      <c r="L483" t="s">
        <v>65</v>
      </c>
      <c r="M483">
        <v>2</v>
      </c>
      <c r="N483">
        <v>3</v>
      </c>
      <c r="O483">
        <v>2</v>
      </c>
      <c r="P483" t="s">
        <v>79</v>
      </c>
      <c r="Q483" t="s">
        <v>67</v>
      </c>
      <c r="R483">
        <v>1</v>
      </c>
      <c r="S483">
        <v>7</v>
      </c>
      <c r="T483" t="s">
        <v>84</v>
      </c>
      <c r="U483" t="s">
        <v>68</v>
      </c>
      <c r="V483" t="s">
        <v>96</v>
      </c>
      <c r="W483" s="3">
        <v>45335</v>
      </c>
      <c r="X483" t="b">
        <v>0</v>
      </c>
      <c r="Y483" t="b">
        <v>1</v>
      </c>
      <c r="Z483" t="s">
        <v>92</v>
      </c>
      <c r="AA483" t="s">
        <v>83</v>
      </c>
      <c r="AB483">
        <v>14</v>
      </c>
      <c r="AO483" t="str">
        <f t="shared" si="27"/>
        <v>41-60</v>
      </c>
      <c r="BD483">
        <v>6</v>
      </c>
      <c r="BF483" cm="1">
        <f t="array" ref="BF483">CORREL(J483:J1483,S483:S1483)</f>
        <v>-0.0531735517368381</v>
      </c>
      <c r="BH483">
        <v>7</v>
      </c>
      <c r="BI483">
        <f t="shared" si="25"/>
        <v>0.857142857142857</v>
      </c>
      <c r="BJ483">
        <f t="shared" si="26"/>
        <v>8.16666666666667</v>
      </c>
    </row>
    <row r="484" spans="1:62">
      <c r="A484" s="1">
        <v>756171460</v>
      </c>
      <c r="B484">
        <v>50</v>
      </c>
      <c r="C484" t="s">
        <v>73</v>
      </c>
      <c r="D484" t="s">
        <v>74</v>
      </c>
      <c r="E484" t="s">
        <v>61</v>
      </c>
      <c r="F484" t="s">
        <v>87</v>
      </c>
      <c r="G484" t="s">
        <v>74</v>
      </c>
      <c r="H484" t="s">
        <v>94</v>
      </c>
      <c r="I484" t="s">
        <v>147</v>
      </c>
      <c r="J484" s="2">
        <v>66.86</v>
      </c>
      <c r="K484">
        <v>3</v>
      </c>
      <c r="L484" t="s">
        <v>65</v>
      </c>
      <c r="M484">
        <v>1</v>
      </c>
      <c r="N484">
        <v>1</v>
      </c>
      <c r="O484">
        <v>1</v>
      </c>
      <c r="P484" t="s">
        <v>79</v>
      </c>
      <c r="Q484" t="s">
        <v>109</v>
      </c>
      <c r="R484">
        <v>0</v>
      </c>
      <c r="S484">
        <v>10</v>
      </c>
      <c r="T484" t="s">
        <v>79</v>
      </c>
      <c r="U484" t="s">
        <v>105</v>
      </c>
      <c r="V484" t="s">
        <v>96</v>
      </c>
      <c r="W484" s="3">
        <v>45316</v>
      </c>
      <c r="X484" t="b">
        <v>1</v>
      </c>
      <c r="Y484" t="b">
        <v>1</v>
      </c>
      <c r="Z484" t="s">
        <v>82</v>
      </c>
      <c r="AA484" t="s">
        <v>97</v>
      </c>
      <c r="AB484">
        <v>9</v>
      </c>
      <c r="AO484" t="str">
        <f t="shared" si="27"/>
        <v>41-60</v>
      </c>
      <c r="BD484">
        <v>3</v>
      </c>
      <c r="BF484" cm="1">
        <f t="array" ref="BF484">CORREL(J484:J1484,S484:S1484)</f>
        <v>-0.0515794349628612</v>
      </c>
      <c r="BH484">
        <v>10</v>
      </c>
      <c r="BI484">
        <f t="shared" si="25"/>
        <v>0.3</v>
      </c>
      <c r="BJ484">
        <f t="shared" si="26"/>
        <v>33.3333333333333</v>
      </c>
    </row>
    <row r="485" spans="1:62">
      <c r="A485" s="1">
        <v>102470192</v>
      </c>
      <c r="B485">
        <v>29</v>
      </c>
      <c r="C485" t="s">
        <v>59</v>
      </c>
      <c r="D485" t="s">
        <v>74</v>
      </c>
      <c r="E485" t="s">
        <v>86</v>
      </c>
      <c r="F485" t="s">
        <v>62</v>
      </c>
      <c r="G485" t="s">
        <v>60</v>
      </c>
      <c r="H485" t="s">
        <v>643</v>
      </c>
      <c r="I485" t="s">
        <v>156</v>
      </c>
      <c r="J485" s="2">
        <v>279.34</v>
      </c>
      <c r="K485">
        <v>5</v>
      </c>
      <c r="L485" t="s">
        <v>65</v>
      </c>
      <c r="M485">
        <v>3</v>
      </c>
      <c r="N485">
        <v>1</v>
      </c>
      <c r="O485">
        <v>0</v>
      </c>
      <c r="P485" t="s">
        <v>79</v>
      </c>
      <c r="Q485" t="s">
        <v>109</v>
      </c>
      <c r="R485">
        <v>2</v>
      </c>
      <c r="S485">
        <v>6</v>
      </c>
      <c r="T485" t="s">
        <v>84</v>
      </c>
      <c r="U485" t="s">
        <v>68</v>
      </c>
      <c r="V485" t="s">
        <v>81</v>
      </c>
      <c r="W485" s="3">
        <v>45526</v>
      </c>
      <c r="X485" t="b">
        <v>0</v>
      </c>
      <c r="Y485" t="b">
        <v>1</v>
      </c>
      <c r="Z485" t="s">
        <v>82</v>
      </c>
      <c r="AA485" t="s">
        <v>71</v>
      </c>
      <c r="AB485">
        <v>11</v>
      </c>
      <c r="AO485" t="str">
        <f t="shared" si="27"/>
        <v>26-40</v>
      </c>
      <c r="BD485">
        <v>5</v>
      </c>
      <c r="BF485" cm="1">
        <f t="array" ref="BF485">CORREL(J485:J1485,S485:S1485)</f>
        <v>-0.0467918685820158</v>
      </c>
      <c r="BH485">
        <v>6</v>
      </c>
      <c r="BI485">
        <f t="shared" si="25"/>
        <v>0.833333333333333</v>
      </c>
      <c r="BJ485">
        <f t="shared" si="26"/>
        <v>7.2</v>
      </c>
    </row>
    <row r="486" spans="1:62">
      <c r="A486" s="1">
        <v>941209525</v>
      </c>
      <c r="B486">
        <v>34</v>
      </c>
      <c r="C486" t="s">
        <v>150</v>
      </c>
      <c r="D486" t="s">
        <v>74</v>
      </c>
      <c r="E486" t="s">
        <v>103</v>
      </c>
      <c r="F486" t="s">
        <v>62</v>
      </c>
      <c r="G486" t="s">
        <v>74</v>
      </c>
      <c r="H486" t="s">
        <v>644</v>
      </c>
      <c r="I486" t="s">
        <v>131</v>
      </c>
      <c r="J486" s="2">
        <v>358.5</v>
      </c>
      <c r="K486">
        <v>3</v>
      </c>
      <c r="L486" t="s">
        <v>85</v>
      </c>
      <c r="M486">
        <v>3</v>
      </c>
      <c r="N486">
        <v>4</v>
      </c>
      <c r="O486">
        <v>2</v>
      </c>
      <c r="P486" t="s">
        <v>79</v>
      </c>
      <c r="Q486" t="s">
        <v>109</v>
      </c>
      <c r="R486">
        <v>2</v>
      </c>
      <c r="S486">
        <v>3</v>
      </c>
      <c r="T486" t="s">
        <v>66</v>
      </c>
      <c r="U486" t="s">
        <v>68</v>
      </c>
      <c r="V486" t="s">
        <v>110</v>
      </c>
      <c r="W486" s="3">
        <v>45610</v>
      </c>
      <c r="X486" t="b">
        <v>0</v>
      </c>
      <c r="Y486" t="b">
        <v>1</v>
      </c>
      <c r="Z486" t="s">
        <v>92</v>
      </c>
      <c r="AA486" t="s">
        <v>83</v>
      </c>
      <c r="AB486">
        <v>8</v>
      </c>
      <c r="AO486" t="str">
        <f t="shared" si="27"/>
        <v>26-40</v>
      </c>
      <c r="BD486">
        <v>3</v>
      </c>
      <c r="BF486" cm="1">
        <f t="array" ref="BF486">CORREL(J486:J1486,S486:S1486)</f>
        <v>-0.0467958737063166</v>
      </c>
      <c r="BH486">
        <v>3</v>
      </c>
      <c r="BI486">
        <f t="shared" si="25"/>
        <v>1</v>
      </c>
      <c r="BJ486">
        <f t="shared" si="26"/>
        <v>3</v>
      </c>
    </row>
    <row r="487" spans="1:62">
      <c r="A487" s="1">
        <v>222349315</v>
      </c>
      <c r="B487">
        <v>44</v>
      </c>
      <c r="C487" t="s">
        <v>59</v>
      </c>
      <c r="D487" t="s">
        <v>74</v>
      </c>
      <c r="E487" t="s">
        <v>98</v>
      </c>
      <c r="F487" t="s">
        <v>62</v>
      </c>
      <c r="G487" t="s">
        <v>74</v>
      </c>
      <c r="H487" t="s">
        <v>645</v>
      </c>
      <c r="I487" t="s">
        <v>209</v>
      </c>
      <c r="J487" s="2">
        <v>360.92</v>
      </c>
      <c r="K487">
        <v>7</v>
      </c>
      <c r="L487" t="s">
        <v>85</v>
      </c>
      <c r="M487">
        <v>2</v>
      </c>
      <c r="N487">
        <v>1</v>
      </c>
      <c r="O487">
        <v>2</v>
      </c>
      <c r="P487" t="s">
        <v>66</v>
      </c>
      <c r="Q487" t="s">
        <v>109</v>
      </c>
      <c r="R487">
        <v>0</v>
      </c>
      <c r="S487">
        <v>9</v>
      </c>
      <c r="T487" t="s">
        <v>84</v>
      </c>
      <c r="U487" t="s">
        <v>90</v>
      </c>
      <c r="V487" t="s">
        <v>81</v>
      </c>
      <c r="W487" s="3">
        <v>45606</v>
      </c>
      <c r="X487" t="b">
        <v>0</v>
      </c>
      <c r="Y487" t="b">
        <v>1</v>
      </c>
      <c r="Z487" t="s">
        <v>92</v>
      </c>
      <c r="AA487" t="s">
        <v>83</v>
      </c>
      <c r="AB487">
        <v>8</v>
      </c>
      <c r="AO487" t="str">
        <f t="shared" si="27"/>
        <v>41-60</v>
      </c>
      <c r="BD487">
        <v>7</v>
      </c>
      <c r="BF487" cm="1">
        <f t="array" ref="BF487">CORREL(J487:J1487,S487:S1487)</f>
        <v>-0.0458029807547707</v>
      </c>
      <c r="BH487">
        <v>9</v>
      </c>
      <c r="BI487">
        <f t="shared" si="25"/>
        <v>0.777777777777778</v>
      </c>
      <c r="BJ487">
        <f t="shared" si="26"/>
        <v>11.5714285714286</v>
      </c>
    </row>
    <row r="488" spans="1:62">
      <c r="A488" s="1">
        <v>375607247</v>
      </c>
      <c r="B488">
        <v>38</v>
      </c>
      <c r="C488" t="s">
        <v>268</v>
      </c>
      <c r="D488" t="s">
        <v>60</v>
      </c>
      <c r="E488" t="s">
        <v>61</v>
      </c>
      <c r="F488" t="s">
        <v>87</v>
      </c>
      <c r="G488" t="s">
        <v>74</v>
      </c>
      <c r="H488" t="s">
        <v>646</v>
      </c>
      <c r="I488" t="s">
        <v>156</v>
      </c>
      <c r="J488" s="2">
        <v>374.36</v>
      </c>
      <c r="K488">
        <v>4</v>
      </c>
      <c r="L488" t="s">
        <v>85</v>
      </c>
      <c r="M488">
        <v>2</v>
      </c>
      <c r="N488">
        <v>2</v>
      </c>
      <c r="O488">
        <v>0</v>
      </c>
      <c r="P488" t="s">
        <v>66</v>
      </c>
      <c r="Q488" t="s">
        <v>67</v>
      </c>
      <c r="R488">
        <v>1</v>
      </c>
      <c r="S488">
        <v>9</v>
      </c>
      <c r="T488" t="s">
        <v>66</v>
      </c>
      <c r="U488" t="s">
        <v>90</v>
      </c>
      <c r="V488" t="s">
        <v>96</v>
      </c>
      <c r="W488" s="3">
        <v>45568</v>
      </c>
      <c r="X488" t="b">
        <v>0</v>
      </c>
      <c r="Y488" t="b">
        <v>0</v>
      </c>
      <c r="Z488" t="s">
        <v>82</v>
      </c>
      <c r="AA488" t="s">
        <v>83</v>
      </c>
      <c r="AB488">
        <v>1</v>
      </c>
      <c r="AO488" t="str">
        <f t="shared" si="27"/>
        <v>26-40</v>
      </c>
      <c r="BD488">
        <v>4</v>
      </c>
      <c r="BF488" cm="1">
        <f t="array" ref="BF488">CORREL(J488:J1488,S488:S1488)</f>
        <v>-0.0474358405354052</v>
      </c>
      <c r="BH488">
        <v>9</v>
      </c>
      <c r="BI488">
        <f t="shared" si="25"/>
        <v>0.444444444444444</v>
      </c>
      <c r="BJ488">
        <f t="shared" si="26"/>
        <v>20.25</v>
      </c>
    </row>
    <row r="489" spans="1:62">
      <c r="A489" s="1">
        <v>918570797</v>
      </c>
      <c r="B489">
        <v>22</v>
      </c>
      <c r="C489" t="s">
        <v>150</v>
      </c>
      <c r="D489" t="s">
        <v>74</v>
      </c>
      <c r="E489" t="s">
        <v>98</v>
      </c>
      <c r="F489" t="s">
        <v>75</v>
      </c>
      <c r="G489" t="s">
        <v>60</v>
      </c>
      <c r="H489" t="s">
        <v>647</v>
      </c>
      <c r="I489" t="s">
        <v>135</v>
      </c>
      <c r="J489" s="2">
        <v>435.37</v>
      </c>
      <c r="K489">
        <v>11</v>
      </c>
      <c r="L489" t="s">
        <v>85</v>
      </c>
      <c r="M489">
        <v>4</v>
      </c>
      <c r="N489">
        <v>2</v>
      </c>
      <c r="O489">
        <v>1</v>
      </c>
      <c r="P489" t="s">
        <v>84</v>
      </c>
      <c r="Q489" t="s">
        <v>109</v>
      </c>
      <c r="R489">
        <v>0</v>
      </c>
      <c r="S489">
        <v>3</v>
      </c>
      <c r="T489" t="s">
        <v>74</v>
      </c>
      <c r="U489" t="s">
        <v>68</v>
      </c>
      <c r="V489" t="s">
        <v>69</v>
      </c>
      <c r="W489" s="3">
        <v>45534</v>
      </c>
      <c r="X489" t="b">
        <v>1</v>
      </c>
      <c r="Y489" t="b">
        <v>1</v>
      </c>
      <c r="Z489" t="s">
        <v>102</v>
      </c>
      <c r="AA489" t="s">
        <v>83</v>
      </c>
      <c r="AB489">
        <v>4</v>
      </c>
      <c r="AO489" t="str">
        <f t="shared" si="27"/>
        <v>18-25</v>
      </c>
      <c r="BD489">
        <v>11</v>
      </c>
      <c r="BF489" cm="1">
        <f t="array" ref="BF489">CORREL(J489:J1489,S489:S1489)</f>
        <v>-0.0493404430540164</v>
      </c>
      <c r="BH489">
        <v>3</v>
      </c>
      <c r="BI489">
        <f t="shared" si="25"/>
        <v>3.66666666666667</v>
      </c>
      <c r="BJ489">
        <f t="shared" si="26"/>
        <v>0.818181818181818</v>
      </c>
    </row>
    <row r="490" spans="1:62">
      <c r="A490" s="1">
        <v>193440102</v>
      </c>
      <c r="B490">
        <v>44</v>
      </c>
      <c r="C490" t="s">
        <v>73</v>
      </c>
      <c r="D490" t="s">
        <v>74</v>
      </c>
      <c r="E490" t="s">
        <v>86</v>
      </c>
      <c r="F490" t="s">
        <v>87</v>
      </c>
      <c r="G490" t="s">
        <v>74</v>
      </c>
      <c r="H490" t="s">
        <v>648</v>
      </c>
      <c r="I490" t="s">
        <v>95</v>
      </c>
      <c r="J490" s="2">
        <v>459.3</v>
      </c>
      <c r="K490">
        <v>9</v>
      </c>
      <c r="L490" t="s">
        <v>85</v>
      </c>
      <c r="M490">
        <v>4</v>
      </c>
      <c r="N490">
        <v>4</v>
      </c>
      <c r="O490">
        <v>1</v>
      </c>
      <c r="P490" t="s">
        <v>66</v>
      </c>
      <c r="Q490" t="s">
        <v>67</v>
      </c>
      <c r="R490">
        <v>2</v>
      </c>
      <c r="S490">
        <v>5</v>
      </c>
      <c r="T490" t="s">
        <v>79</v>
      </c>
      <c r="U490" t="s">
        <v>105</v>
      </c>
      <c r="V490" t="s">
        <v>96</v>
      </c>
      <c r="W490" s="3">
        <v>45574</v>
      </c>
      <c r="X490" t="b">
        <v>0</v>
      </c>
      <c r="Y490" t="b">
        <v>1</v>
      </c>
      <c r="Z490" t="s">
        <v>102</v>
      </c>
      <c r="AA490" t="s">
        <v>71</v>
      </c>
      <c r="AB490">
        <v>1</v>
      </c>
      <c r="AO490" t="str">
        <f t="shared" si="27"/>
        <v>41-60</v>
      </c>
      <c r="BD490">
        <v>9</v>
      </c>
      <c r="BF490" cm="1">
        <f t="array" ref="BF490">CORREL(J490:J1490,S490:S1490)</f>
        <v>-0.0473852951536891</v>
      </c>
      <c r="BH490">
        <v>5</v>
      </c>
      <c r="BI490">
        <f t="shared" si="25"/>
        <v>1.8</v>
      </c>
      <c r="BJ490">
        <f t="shared" si="26"/>
        <v>2.77777777777778</v>
      </c>
    </row>
    <row r="491" spans="1:62">
      <c r="A491" s="1">
        <v>486097715</v>
      </c>
      <c r="B491">
        <v>43</v>
      </c>
      <c r="C491" t="s">
        <v>59</v>
      </c>
      <c r="D491" t="s">
        <v>74</v>
      </c>
      <c r="E491" t="s">
        <v>103</v>
      </c>
      <c r="F491" t="s">
        <v>87</v>
      </c>
      <c r="G491" t="s">
        <v>60</v>
      </c>
      <c r="H491" t="s">
        <v>649</v>
      </c>
      <c r="I491" t="s">
        <v>209</v>
      </c>
      <c r="J491" s="2">
        <v>426.89</v>
      </c>
      <c r="K491">
        <v>2</v>
      </c>
      <c r="L491" t="s">
        <v>65</v>
      </c>
      <c r="M491">
        <v>5</v>
      </c>
      <c r="N491">
        <v>1</v>
      </c>
      <c r="O491">
        <v>1</v>
      </c>
      <c r="P491" t="s">
        <v>74</v>
      </c>
      <c r="Q491" t="s">
        <v>80</v>
      </c>
      <c r="R491">
        <v>1</v>
      </c>
      <c r="S491">
        <v>3</v>
      </c>
      <c r="T491" t="s">
        <v>84</v>
      </c>
      <c r="U491" t="s">
        <v>90</v>
      </c>
      <c r="V491" t="s">
        <v>81</v>
      </c>
      <c r="W491" s="3">
        <v>45598</v>
      </c>
      <c r="X491" t="b">
        <v>1</v>
      </c>
      <c r="Y491" t="b">
        <v>0</v>
      </c>
      <c r="Z491" t="s">
        <v>82</v>
      </c>
      <c r="AA491" t="s">
        <v>97</v>
      </c>
      <c r="AB491">
        <v>10</v>
      </c>
      <c r="AO491" t="str">
        <f t="shared" si="27"/>
        <v>41-60</v>
      </c>
      <c r="BD491">
        <v>2</v>
      </c>
      <c r="BF491" cm="1">
        <f t="array" ref="BF491">CORREL(J491:J1491,S491:S1491)</f>
        <v>-0.0470244070017291</v>
      </c>
      <c r="BH491">
        <v>3</v>
      </c>
      <c r="BI491">
        <f t="shared" si="25"/>
        <v>0.666666666666667</v>
      </c>
      <c r="BJ491">
        <f t="shared" si="26"/>
        <v>4.5</v>
      </c>
    </row>
    <row r="492" spans="1:62">
      <c r="A492" s="1">
        <v>135716506</v>
      </c>
      <c r="B492">
        <v>25</v>
      </c>
      <c r="C492" t="s">
        <v>73</v>
      </c>
      <c r="D492" t="s">
        <v>60</v>
      </c>
      <c r="E492" t="s">
        <v>103</v>
      </c>
      <c r="F492" t="s">
        <v>87</v>
      </c>
      <c r="G492" t="s">
        <v>74</v>
      </c>
      <c r="H492" t="s">
        <v>650</v>
      </c>
      <c r="I492" t="s">
        <v>120</v>
      </c>
      <c r="J492" s="2">
        <v>365.37</v>
      </c>
      <c r="K492">
        <v>6</v>
      </c>
      <c r="L492" t="s">
        <v>65</v>
      </c>
      <c r="M492">
        <v>1</v>
      </c>
      <c r="N492">
        <v>2</v>
      </c>
      <c r="O492">
        <v>1</v>
      </c>
      <c r="P492" t="s">
        <v>84</v>
      </c>
      <c r="Q492" t="s">
        <v>109</v>
      </c>
      <c r="R492">
        <v>1</v>
      </c>
      <c r="S492">
        <v>5</v>
      </c>
      <c r="T492" t="s">
        <v>84</v>
      </c>
      <c r="U492" t="s">
        <v>90</v>
      </c>
      <c r="V492" t="s">
        <v>81</v>
      </c>
      <c r="W492" s="3">
        <v>45475</v>
      </c>
      <c r="X492" t="b">
        <v>1</v>
      </c>
      <c r="Y492" t="b">
        <v>1</v>
      </c>
      <c r="Z492" t="s">
        <v>82</v>
      </c>
      <c r="AA492" t="s">
        <v>97</v>
      </c>
      <c r="AB492">
        <v>7</v>
      </c>
      <c r="AO492" t="str">
        <f t="shared" si="27"/>
        <v>18-25</v>
      </c>
      <c r="BD492">
        <v>6</v>
      </c>
      <c r="BF492" cm="1">
        <f t="array" ref="BF492">CORREL(J492:J1492,S492:S1492)</f>
        <v>-0.0451486385309123</v>
      </c>
      <c r="BH492">
        <v>5</v>
      </c>
      <c r="BI492">
        <f t="shared" si="25"/>
        <v>1.2</v>
      </c>
      <c r="BJ492">
        <f t="shared" si="26"/>
        <v>4.16666666666667</v>
      </c>
    </row>
    <row r="493" spans="1:62">
      <c r="A493" s="1">
        <v>470736440</v>
      </c>
      <c r="B493">
        <v>21</v>
      </c>
      <c r="C493" t="s">
        <v>59</v>
      </c>
      <c r="D493" t="s">
        <v>60</v>
      </c>
      <c r="E493" t="s">
        <v>103</v>
      </c>
      <c r="F493" t="s">
        <v>87</v>
      </c>
      <c r="G493" t="s">
        <v>74</v>
      </c>
      <c r="H493" t="s">
        <v>651</v>
      </c>
      <c r="I493" t="s">
        <v>115</v>
      </c>
      <c r="J493" s="2">
        <v>487.25</v>
      </c>
      <c r="K493">
        <v>4</v>
      </c>
      <c r="L493" t="s">
        <v>85</v>
      </c>
      <c r="M493">
        <v>3</v>
      </c>
      <c r="N493">
        <v>2</v>
      </c>
      <c r="O493">
        <v>1</v>
      </c>
      <c r="P493" t="s">
        <v>74</v>
      </c>
      <c r="Q493" t="s">
        <v>109</v>
      </c>
      <c r="R493">
        <v>0</v>
      </c>
      <c r="S493">
        <v>4</v>
      </c>
      <c r="T493" t="s">
        <v>74</v>
      </c>
      <c r="U493" t="s">
        <v>105</v>
      </c>
      <c r="V493" t="s">
        <v>110</v>
      </c>
      <c r="W493" s="3">
        <v>45573</v>
      </c>
      <c r="X493" t="b">
        <v>0</v>
      </c>
      <c r="Y493" t="b">
        <v>0</v>
      </c>
      <c r="Z493" t="s">
        <v>82</v>
      </c>
      <c r="AA493" t="s">
        <v>83</v>
      </c>
      <c r="AB493">
        <v>1</v>
      </c>
      <c r="AO493" t="str">
        <f t="shared" si="27"/>
        <v>18-25</v>
      </c>
      <c r="BD493">
        <v>4</v>
      </c>
      <c r="BF493" cm="1">
        <f t="array" ref="BF493">CORREL(J493:J1493,S493:S1493)</f>
        <v>-0.0449475414060868</v>
      </c>
      <c r="BH493">
        <v>4</v>
      </c>
      <c r="BI493">
        <f t="shared" si="25"/>
        <v>1</v>
      </c>
      <c r="BJ493">
        <f t="shared" si="26"/>
        <v>4</v>
      </c>
    </row>
    <row r="494" spans="1:62">
      <c r="A494" s="1">
        <v>503031693</v>
      </c>
      <c r="B494">
        <v>29</v>
      </c>
      <c r="C494" t="s">
        <v>59</v>
      </c>
      <c r="D494" t="s">
        <v>60</v>
      </c>
      <c r="E494" t="s">
        <v>61</v>
      </c>
      <c r="F494" t="s">
        <v>75</v>
      </c>
      <c r="G494" t="s">
        <v>74</v>
      </c>
      <c r="H494" t="s">
        <v>652</v>
      </c>
      <c r="I494" t="s">
        <v>135</v>
      </c>
      <c r="J494" s="2">
        <v>187.22</v>
      </c>
      <c r="K494">
        <v>10</v>
      </c>
      <c r="L494" t="s">
        <v>85</v>
      </c>
      <c r="M494">
        <v>5</v>
      </c>
      <c r="N494">
        <v>3</v>
      </c>
      <c r="O494">
        <v>0</v>
      </c>
      <c r="P494" t="s">
        <v>79</v>
      </c>
      <c r="Q494" t="s">
        <v>109</v>
      </c>
      <c r="R494">
        <v>1</v>
      </c>
      <c r="S494">
        <v>4</v>
      </c>
      <c r="T494" t="s">
        <v>84</v>
      </c>
      <c r="U494" t="s">
        <v>105</v>
      </c>
      <c r="V494" t="s">
        <v>69</v>
      </c>
      <c r="W494" s="3">
        <v>45447</v>
      </c>
      <c r="X494" t="b">
        <v>0</v>
      </c>
      <c r="Y494" t="b">
        <v>0</v>
      </c>
      <c r="Z494" t="s">
        <v>82</v>
      </c>
      <c r="AA494" t="s">
        <v>83</v>
      </c>
      <c r="AB494">
        <v>4</v>
      </c>
      <c r="AO494" t="str">
        <f t="shared" si="27"/>
        <v>26-40</v>
      </c>
      <c r="BD494">
        <v>10</v>
      </c>
      <c r="BF494" cm="1">
        <f t="array" ref="BF494">CORREL(J494:J1494,S494:S1494)</f>
        <v>-0.0434126618222334</v>
      </c>
      <c r="BH494">
        <v>4</v>
      </c>
      <c r="BI494">
        <f t="shared" si="25"/>
        <v>2.5</v>
      </c>
      <c r="BJ494">
        <f t="shared" si="26"/>
        <v>1.6</v>
      </c>
    </row>
    <row r="495" spans="1:62">
      <c r="A495" s="1">
        <v>691579577</v>
      </c>
      <c r="B495">
        <v>41</v>
      </c>
      <c r="C495" t="s">
        <v>73</v>
      </c>
      <c r="D495" t="s">
        <v>74</v>
      </c>
      <c r="E495" t="s">
        <v>103</v>
      </c>
      <c r="F495" t="s">
        <v>87</v>
      </c>
      <c r="G495" t="s">
        <v>74</v>
      </c>
      <c r="H495" t="s">
        <v>653</v>
      </c>
      <c r="I495" t="s">
        <v>137</v>
      </c>
      <c r="J495" s="2">
        <v>396.82</v>
      </c>
      <c r="K495">
        <v>7</v>
      </c>
      <c r="L495" t="s">
        <v>65</v>
      </c>
      <c r="M495">
        <v>3</v>
      </c>
      <c r="N495">
        <v>4</v>
      </c>
      <c r="O495">
        <v>1</v>
      </c>
      <c r="P495" t="s">
        <v>66</v>
      </c>
      <c r="Q495" t="s">
        <v>67</v>
      </c>
      <c r="R495">
        <v>1</v>
      </c>
      <c r="S495">
        <v>9</v>
      </c>
      <c r="T495" t="s">
        <v>74</v>
      </c>
      <c r="U495" t="s">
        <v>105</v>
      </c>
      <c r="V495" t="s">
        <v>69</v>
      </c>
      <c r="W495" s="3">
        <v>45517</v>
      </c>
      <c r="X495" t="b">
        <v>1</v>
      </c>
      <c r="Y495" t="b">
        <v>1</v>
      </c>
      <c r="Z495" t="s">
        <v>70</v>
      </c>
      <c r="AA495" t="s">
        <v>71</v>
      </c>
      <c r="AB495">
        <v>9</v>
      </c>
      <c r="AO495" t="str">
        <f t="shared" si="27"/>
        <v>41-60</v>
      </c>
      <c r="BD495">
        <v>7</v>
      </c>
      <c r="BF495" cm="1">
        <f t="array" ref="BF495">CORREL(J495:J1495,S495:S1495)</f>
        <v>-0.0441503751191673</v>
      </c>
      <c r="BH495">
        <v>9</v>
      </c>
      <c r="BI495">
        <f t="shared" si="25"/>
        <v>0.777777777777778</v>
      </c>
      <c r="BJ495">
        <f t="shared" si="26"/>
        <v>11.5714285714286</v>
      </c>
    </row>
    <row r="496" spans="1:62">
      <c r="A496" s="4" t="s">
        <v>654</v>
      </c>
      <c r="B496">
        <v>38</v>
      </c>
      <c r="C496" t="s">
        <v>150</v>
      </c>
      <c r="D496" t="s">
        <v>74</v>
      </c>
      <c r="E496" t="s">
        <v>103</v>
      </c>
      <c r="F496" t="s">
        <v>87</v>
      </c>
      <c r="G496" t="s">
        <v>74</v>
      </c>
      <c r="H496" t="s">
        <v>655</v>
      </c>
      <c r="I496" t="s">
        <v>178</v>
      </c>
      <c r="J496" s="2">
        <v>246.74</v>
      </c>
      <c r="K496">
        <v>10</v>
      </c>
      <c r="L496" t="s">
        <v>85</v>
      </c>
      <c r="M496">
        <v>2</v>
      </c>
      <c r="N496">
        <v>3</v>
      </c>
      <c r="O496">
        <v>0</v>
      </c>
      <c r="P496" t="s">
        <v>79</v>
      </c>
      <c r="Q496" t="s">
        <v>80</v>
      </c>
      <c r="R496">
        <v>1</v>
      </c>
      <c r="S496">
        <v>6</v>
      </c>
      <c r="T496" t="s">
        <v>74</v>
      </c>
      <c r="U496" t="s">
        <v>105</v>
      </c>
      <c r="V496" t="s">
        <v>81</v>
      </c>
      <c r="W496" s="3">
        <v>45378</v>
      </c>
      <c r="X496" t="b">
        <v>0</v>
      </c>
      <c r="Y496" t="b">
        <v>0</v>
      </c>
      <c r="Z496" t="s">
        <v>70</v>
      </c>
      <c r="AA496" t="s">
        <v>97</v>
      </c>
      <c r="AB496">
        <v>8</v>
      </c>
      <c r="AO496" t="str">
        <f t="shared" si="27"/>
        <v>26-40</v>
      </c>
      <c r="BD496">
        <v>10</v>
      </c>
      <c r="BF496" cm="1">
        <f t="array" ref="BF496">CORREL(J496:J1496,S496:S1496)</f>
        <v>-0.0465341774832846</v>
      </c>
      <c r="BH496">
        <v>6</v>
      </c>
      <c r="BI496">
        <f t="shared" si="25"/>
        <v>1.66666666666667</v>
      </c>
      <c r="BJ496">
        <f t="shared" si="26"/>
        <v>3.6</v>
      </c>
    </row>
    <row r="497" spans="1:62">
      <c r="A497" s="1">
        <v>829758569</v>
      </c>
      <c r="B497">
        <v>26</v>
      </c>
      <c r="C497" t="s">
        <v>73</v>
      </c>
      <c r="D497" t="s">
        <v>74</v>
      </c>
      <c r="E497" t="s">
        <v>98</v>
      </c>
      <c r="F497" t="s">
        <v>62</v>
      </c>
      <c r="G497" t="s">
        <v>74</v>
      </c>
      <c r="H497" t="s">
        <v>656</v>
      </c>
      <c r="I497" t="s">
        <v>118</v>
      </c>
      <c r="J497" s="2">
        <v>128.74</v>
      </c>
      <c r="K497">
        <v>12</v>
      </c>
      <c r="L497" t="s">
        <v>65</v>
      </c>
      <c r="M497">
        <v>5</v>
      </c>
      <c r="N497">
        <v>1</v>
      </c>
      <c r="O497">
        <v>1</v>
      </c>
      <c r="P497" t="s">
        <v>79</v>
      </c>
      <c r="Q497" t="s">
        <v>67</v>
      </c>
      <c r="R497">
        <v>1</v>
      </c>
      <c r="S497">
        <v>8</v>
      </c>
      <c r="T497" t="s">
        <v>74</v>
      </c>
      <c r="U497" t="s">
        <v>105</v>
      </c>
      <c r="V497" t="s">
        <v>81</v>
      </c>
      <c r="W497" s="3">
        <v>45297</v>
      </c>
      <c r="X497" t="b">
        <v>0</v>
      </c>
      <c r="Y497" t="b">
        <v>1</v>
      </c>
      <c r="Z497" t="s">
        <v>102</v>
      </c>
      <c r="AA497" t="s">
        <v>83</v>
      </c>
      <c r="AB497">
        <v>1</v>
      </c>
      <c r="AO497" t="str">
        <f t="shared" si="27"/>
        <v>26-40</v>
      </c>
      <c r="BD497">
        <v>12</v>
      </c>
      <c r="BF497" cm="1">
        <f t="array" ref="BF497">CORREL(J497:J1497,S497:S1497)</f>
        <v>-0.0464536839977325</v>
      </c>
      <c r="BH497">
        <v>8</v>
      </c>
      <c r="BI497">
        <f t="shared" si="25"/>
        <v>1.5</v>
      </c>
      <c r="BJ497">
        <f t="shared" si="26"/>
        <v>5.33333333333333</v>
      </c>
    </row>
    <row r="498" spans="1:62">
      <c r="A498" s="1">
        <v>707747728</v>
      </c>
      <c r="B498">
        <v>41</v>
      </c>
      <c r="C498" t="s">
        <v>59</v>
      </c>
      <c r="D498" t="s">
        <v>60</v>
      </c>
      <c r="E498" t="s">
        <v>98</v>
      </c>
      <c r="F498" t="s">
        <v>87</v>
      </c>
      <c r="G498" t="s">
        <v>60</v>
      </c>
      <c r="H498" t="s">
        <v>657</v>
      </c>
      <c r="I498" t="s">
        <v>137</v>
      </c>
      <c r="J498" s="2">
        <v>339.63</v>
      </c>
      <c r="K498">
        <v>2</v>
      </c>
      <c r="L498" t="s">
        <v>78</v>
      </c>
      <c r="M498">
        <v>3</v>
      </c>
      <c r="N498">
        <v>3</v>
      </c>
      <c r="O498">
        <v>2</v>
      </c>
      <c r="P498" t="s">
        <v>79</v>
      </c>
      <c r="Q498" t="s">
        <v>109</v>
      </c>
      <c r="R498">
        <v>2</v>
      </c>
      <c r="S498">
        <v>1</v>
      </c>
      <c r="T498" t="s">
        <v>84</v>
      </c>
      <c r="U498" t="s">
        <v>68</v>
      </c>
      <c r="V498" t="s">
        <v>81</v>
      </c>
      <c r="W498" s="3">
        <v>45530</v>
      </c>
      <c r="X498" t="b">
        <v>1</v>
      </c>
      <c r="Y498" t="b">
        <v>0</v>
      </c>
      <c r="Z498" t="s">
        <v>92</v>
      </c>
      <c r="AA498" t="s">
        <v>71</v>
      </c>
      <c r="AB498">
        <v>6</v>
      </c>
      <c r="AO498" t="str">
        <f t="shared" si="27"/>
        <v>41-60</v>
      </c>
      <c r="BD498">
        <v>2</v>
      </c>
      <c r="BF498" cm="1">
        <f t="array" ref="BF498">CORREL(J498:J1498,S498:S1498)</f>
        <v>-0.0445341138326917</v>
      </c>
      <c r="BH498">
        <v>1</v>
      </c>
      <c r="BI498">
        <f t="shared" si="25"/>
        <v>2</v>
      </c>
      <c r="BJ498">
        <f t="shared" si="26"/>
        <v>0.5</v>
      </c>
    </row>
    <row r="499" spans="1:62">
      <c r="A499" s="1">
        <v>130158097</v>
      </c>
      <c r="B499">
        <v>46</v>
      </c>
      <c r="C499" t="s">
        <v>59</v>
      </c>
      <c r="D499" t="s">
        <v>74</v>
      </c>
      <c r="E499" t="s">
        <v>86</v>
      </c>
      <c r="F499" t="s">
        <v>62</v>
      </c>
      <c r="G499" t="s">
        <v>74</v>
      </c>
      <c r="H499" t="s">
        <v>658</v>
      </c>
      <c r="I499" t="s">
        <v>113</v>
      </c>
      <c r="J499" s="2">
        <v>223.58</v>
      </c>
      <c r="K499">
        <v>11</v>
      </c>
      <c r="L499" t="s">
        <v>65</v>
      </c>
      <c r="M499">
        <v>4</v>
      </c>
      <c r="N499">
        <v>3</v>
      </c>
      <c r="O499">
        <v>0</v>
      </c>
      <c r="P499" t="s">
        <v>74</v>
      </c>
      <c r="Q499" t="s">
        <v>109</v>
      </c>
      <c r="R499">
        <v>0</v>
      </c>
      <c r="S499">
        <v>6</v>
      </c>
      <c r="T499" t="s">
        <v>66</v>
      </c>
      <c r="U499" t="s">
        <v>68</v>
      </c>
      <c r="V499" t="s">
        <v>81</v>
      </c>
      <c r="W499" s="3">
        <v>45432</v>
      </c>
      <c r="X499" t="b">
        <v>0</v>
      </c>
      <c r="Y499" t="b">
        <v>0</v>
      </c>
      <c r="Z499" t="s">
        <v>92</v>
      </c>
      <c r="AA499" t="s">
        <v>71</v>
      </c>
      <c r="AB499">
        <v>11</v>
      </c>
      <c r="AO499" t="str">
        <f t="shared" si="27"/>
        <v>41-60</v>
      </c>
      <c r="BD499">
        <v>11</v>
      </c>
      <c r="BF499" cm="1">
        <f t="array" ref="BF499">CORREL(J499:J1499,S499:S1499)</f>
        <v>-0.0431393185785473</v>
      </c>
      <c r="BH499">
        <v>6</v>
      </c>
      <c r="BI499">
        <f t="shared" si="25"/>
        <v>1.83333333333333</v>
      </c>
      <c r="BJ499">
        <f t="shared" si="26"/>
        <v>3.27272727272727</v>
      </c>
    </row>
    <row r="500" spans="1:62">
      <c r="A500" s="1">
        <v>683917279</v>
      </c>
      <c r="B500">
        <v>39</v>
      </c>
      <c r="C500" t="s">
        <v>268</v>
      </c>
      <c r="D500" t="s">
        <v>74</v>
      </c>
      <c r="E500" t="s">
        <v>98</v>
      </c>
      <c r="F500" t="s">
        <v>62</v>
      </c>
      <c r="G500" t="s">
        <v>60</v>
      </c>
      <c r="H500" t="s">
        <v>659</v>
      </c>
      <c r="I500" t="s">
        <v>64</v>
      </c>
      <c r="J500" s="2">
        <v>446.92</v>
      </c>
      <c r="K500">
        <v>5</v>
      </c>
      <c r="L500" t="s">
        <v>65</v>
      </c>
      <c r="M500">
        <v>1</v>
      </c>
      <c r="N500">
        <v>1</v>
      </c>
      <c r="O500">
        <v>1</v>
      </c>
      <c r="P500" t="s">
        <v>79</v>
      </c>
      <c r="Q500" t="s">
        <v>109</v>
      </c>
      <c r="R500">
        <v>2</v>
      </c>
      <c r="S500">
        <v>6</v>
      </c>
      <c r="T500" t="s">
        <v>66</v>
      </c>
      <c r="U500" t="s">
        <v>90</v>
      </c>
      <c r="V500" t="s">
        <v>81</v>
      </c>
      <c r="W500" s="3">
        <v>45492</v>
      </c>
      <c r="X500" t="b">
        <v>1</v>
      </c>
      <c r="Y500" t="b">
        <v>0</v>
      </c>
      <c r="Z500" t="s">
        <v>102</v>
      </c>
      <c r="AA500" t="s">
        <v>97</v>
      </c>
      <c r="AB500">
        <v>10</v>
      </c>
      <c r="AO500" t="str">
        <f t="shared" si="27"/>
        <v>26-40</v>
      </c>
      <c r="BD500">
        <v>5</v>
      </c>
      <c r="BF500" cm="1">
        <f t="array" ref="BF500">CORREL(J500:J1500,S500:S1500)</f>
        <v>-0.0429967109977851</v>
      </c>
      <c r="BH500">
        <v>6</v>
      </c>
      <c r="BI500">
        <f t="shared" si="25"/>
        <v>0.833333333333333</v>
      </c>
      <c r="BJ500">
        <f t="shared" si="26"/>
        <v>7.2</v>
      </c>
    </row>
    <row r="501" spans="1:62">
      <c r="A501" s="1">
        <v>287643337</v>
      </c>
      <c r="B501">
        <v>43</v>
      </c>
      <c r="C501" t="s">
        <v>73</v>
      </c>
      <c r="D501" t="s">
        <v>60</v>
      </c>
      <c r="E501" t="s">
        <v>103</v>
      </c>
      <c r="F501" t="s">
        <v>62</v>
      </c>
      <c r="G501" t="s">
        <v>60</v>
      </c>
      <c r="H501" t="s">
        <v>660</v>
      </c>
      <c r="I501" t="s">
        <v>131</v>
      </c>
      <c r="J501" s="2">
        <v>175.65</v>
      </c>
      <c r="K501">
        <v>11</v>
      </c>
      <c r="L501" t="s">
        <v>65</v>
      </c>
      <c r="M501">
        <v>4</v>
      </c>
      <c r="N501">
        <v>3</v>
      </c>
      <c r="O501">
        <v>2</v>
      </c>
      <c r="P501" t="s">
        <v>84</v>
      </c>
      <c r="Q501" t="s">
        <v>80</v>
      </c>
      <c r="R501">
        <v>1</v>
      </c>
      <c r="S501">
        <v>7</v>
      </c>
      <c r="T501" t="s">
        <v>66</v>
      </c>
      <c r="U501" t="s">
        <v>68</v>
      </c>
      <c r="V501" t="s">
        <v>96</v>
      </c>
      <c r="W501" s="3">
        <v>45634</v>
      </c>
      <c r="X501" t="b">
        <v>0</v>
      </c>
      <c r="Y501" t="b">
        <v>1</v>
      </c>
      <c r="Z501" t="s">
        <v>82</v>
      </c>
      <c r="AA501" t="s">
        <v>97</v>
      </c>
      <c r="AB501">
        <v>8</v>
      </c>
      <c r="AO501" t="str">
        <f t="shared" si="27"/>
        <v>41-60</v>
      </c>
      <c r="BD501">
        <v>11</v>
      </c>
      <c r="BF501" cm="1">
        <f t="array" ref="BF501">CORREL(J501:J1501,S501:S1501)</f>
        <v>-0.0435564861004791</v>
      </c>
      <c r="BH501">
        <v>7</v>
      </c>
      <c r="BI501">
        <f t="shared" si="25"/>
        <v>1.57142857142857</v>
      </c>
      <c r="BJ501">
        <f t="shared" si="26"/>
        <v>4.45454545454546</v>
      </c>
    </row>
    <row r="502" spans="1:62">
      <c r="A502" s="4" t="s">
        <v>661</v>
      </c>
      <c r="B502">
        <v>44</v>
      </c>
      <c r="C502" t="s">
        <v>150</v>
      </c>
      <c r="D502" t="s">
        <v>60</v>
      </c>
      <c r="E502" t="s">
        <v>61</v>
      </c>
      <c r="F502" t="s">
        <v>62</v>
      </c>
      <c r="G502" t="s">
        <v>60</v>
      </c>
      <c r="H502" t="s">
        <v>662</v>
      </c>
      <c r="I502" t="s">
        <v>171</v>
      </c>
      <c r="J502" s="2">
        <v>491.49</v>
      </c>
      <c r="K502">
        <v>10</v>
      </c>
      <c r="L502" t="s">
        <v>65</v>
      </c>
      <c r="M502">
        <v>1</v>
      </c>
      <c r="N502">
        <v>1</v>
      </c>
      <c r="O502">
        <v>0</v>
      </c>
      <c r="P502" t="s">
        <v>84</v>
      </c>
      <c r="Q502" t="s">
        <v>67</v>
      </c>
      <c r="R502">
        <v>2</v>
      </c>
      <c r="S502">
        <v>7</v>
      </c>
      <c r="T502" t="s">
        <v>66</v>
      </c>
      <c r="U502" t="s">
        <v>105</v>
      </c>
      <c r="V502" t="s">
        <v>81</v>
      </c>
      <c r="W502" s="3">
        <v>45440</v>
      </c>
      <c r="X502" t="b">
        <v>0</v>
      </c>
      <c r="Y502" t="b">
        <v>0</v>
      </c>
      <c r="Z502" t="s">
        <v>102</v>
      </c>
      <c r="AA502" t="s">
        <v>83</v>
      </c>
      <c r="AB502">
        <v>1</v>
      </c>
      <c r="AO502" t="str">
        <f t="shared" si="27"/>
        <v>41-60</v>
      </c>
      <c r="BD502">
        <v>10</v>
      </c>
      <c r="BF502" cm="1">
        <f t="array" ref="BF502">CORREL(J502:J1502,S502:S1502)</f>
        <v>-0.0427599447149774</v>
      </c>
      <c r="BH502">
        <v>7</v>
      </c>
      <c r="BI502">
        <f t="shared" si="25"/>
        <v>1.42857142857143</v>
      </c>
      <c r="BJ502">
        <f t="shared" si="26"/>
        <v>4.9</v>
      </c>
    </row>
    <row r="503" spans="1:62">
      <c r="A503" s="4" t="s">
        <v>663</v>
      </c>
      <c r="B503">
        <v>26</v>
      </c>
      <c r="C503" t="s">
        <v>73</v>
      </c>
      <c r="D503" t="s">
        <v>60</v>
      </c>
      <c r="E503" t="s">
        <v>98</v>
      </c>
      <c r="F503" t="s">
        <v>62</v>
      </c>
      <c r="G503" t="s">
        <v>60</v>
      </c>
      <c r="H503" t="s">
        <v>664</v>
      </c>
      <c r="I503" t="s">
        <v>174</v>
      </c>
      <c r="J503" s="2">
        <v>88.4</v>
      </c>
      <c r="K503">
        <v>5</v>
      </c>
      <c r="L503" t="s">
        <v>78</v>
      </c>
      <c r="M503">
        <v>5</v>
      </c>
      <c r="N503">
        <v>2</v>
      </c>
      <c r="O503">
        <v>0</v>
      </c>
      <c r="P503" t="s">
        <v>79</v>
      </c>
      <c r="Q503" t="s">
        <v>80</v>
      </c>
      <c r="R503">
        <v>0</v>
      </c>
      <c r="S503">
        <v>4</v>
      </c>
      <c r="T503" t="s">
        <v>79</v>
      </c>
      <c r="U503" t="s">
        <v>105</v>
      </c>
      <c r="V503" t="s">
        <v>110</v>
      </c>
      <c r="W503" s="3">
        <v>45438</v>
      </c>
      <c r="X503" t="b">
        <v>1</v>
      </c>
      <c r="Y503" t="b">
        <v>0</v>
      </c>
      <c r="Z503" t="s">
        <v>70</v>
      </c>
      <c r="AA503" t="s">
        <v>71</v>
      </c>
      <c r="AB503">
        <v>4</v>
      </c>
      <c r="AO503" t="str">
        <f t="shared" si="27"/>
        <v>26-40</v>
      </c>
      <c r="BD503">
        <v>5</v>
      </c>
      <c r="BF503" cm="1">
        <f t="array" ref="BF503">CORREL(J503:J1503,S503:S1503)</f>
        <v>-0.0446772748041436</v>
      </c>
      <c r="BH503">
        <v>4</v>
      </c>
      <c r="BI503">
        <f t="shared" si="25"/>
        <v>1.25</v>
      </c>
      <c r="BJ503">
        <f t="shared" si="26"/>
        <v>3.2</v>
      </c>
    </row>
    <row r="504" spans="1:62">
      <c r="A504" s="1">
        <v>276135005</v>
      </c>
      <c r="B504">
        <v>29</v>
      </c>
      <c r="C504" t="s">
        <v>73</v>
      </c>
      <c r="D504" t="s">
        <v>60</v>
      </c>
      <c r="E504" t="s">
        <v>98</v>
      </c>
      <c r="F504" t="s">
        <v>87</v>
      </c>
      <c r="G504" t="s">
        <v>74</v>
      </c>
      <c r="H504" t="s">
        <v>665</v>
      </c>
      <c r="I504" t="s">
        <v>89</v>
      </c>
      <c r="J504" s="2">
        <v>430.9</v>
      </c>
      <c r="K504">
        <v>8</v>
      </c>
      <c r="L504" t="s">
        <v>85</v>
      </c>
      <c r="M504">
        <v>4</v>
      </c>
      <c r="N504">
        <v>5</v>
      </c>
      <c r="O504">
        <v>1</v>
      </c>
      <c r="P504" t="s">
        <v>74</v>
      </c>
      <c r="Q504" t="s">
        <v>80</v>
      </c>
      <c r="R504">
        <v>0</v>
      </c>
      <c r="S504">
        <v>6</v>
      </c>
      <c r="T504" t="s">
        <v>66</v>
      </c>
      <c r="U504" t="s">
        <v>68</v>
      </c>
      <c r="V504" t="s">
        <v>69</v>
      </c>
      <c r="W504" s="3">
        <v>45449</v>
      </c>
      <c r="X504" t="b">
        <v>0</v>
      </c>
      <c r="Y504" t="b">
        <v>0</v>
      </c>
      <c r="Z504" t="s">
        <v>82</v>
      </c>
      <c r="AA504" t="s">
        <v>83</v>
      </c>
      <c r="AB504">
        <v>11</v>
      </c>
      <c r="AO504" t="str">
        <f t="shared" si="27"/>
        <v>26-40</v>
      </c>
      <c r="BD504">
        <v>8</v>
      </c>
      <c r="BF504" cm="1">
        <f t="array" ref="BF504">CORREL(J504:J1504,S504:S1504)</f>
        <v>-0.0462800501267959</v>
      </c>
      <c r="BH504">
        <v>6</v>
      </c>
      <c r="BI504">
        <f t="shared" si="25"/>
        <v>1.33333333333333</v>
      </c>
      <c r="BJ504">
        <f t="shared" si="26"/>
        <v>4.5</v>
      </c>
    </row>
    <row r="505" spans="1:62">
      <c r="A505" s="1">
        <v>498253438</v>
      </c>
      <c r="B505">
        <v>50</v>
      </c>
      <c r="C505" t="s">
        <v>73</v>
      </c>
      <c r="D505" t="s">
        <v>74</v>
      </c>
      <c r="E505" t="s">
        <v>98</v>
      </c>
      <c r="F505" t="s">
        <v>75</v>
      </c>
      <c r="G505" t="s">
        <v>74</v>
      </c>
      <c r="H505" t="s">
        <v>666</v>
      </c>
      <c r="I505" t="s">
        <v>115</v>
      </c>
      <c r="J505" s="2">
        <v>435.23</v>
      </c>
      <c r="K505">
        <v>2</v>
      </c>
      <c r="L505" t="s">
        <v>78</v>
      </c>
      <c r="M505">
        <v>2</v>
      </c>
      <c r="N505">
        <v>4</v>
      </c>
      <c r="O505">
        <v>0</v>
      </c>
      <c r="P505" t="s">
        <v>66</v>
      </c>
      <c r="Q505" t="s">
        <v>67</v>
      </c>
      <c r="R505">
        <v>2</v>
      </c>
      <c r="S505">
        <v>2</v>
      </c>
      <c r="T505" t="s">
        <v>79</v>
      </c>
      <c r="U505" t="s">
        <v>90</v>
      </c>
      <c r="V505" t="s">
        <v>110</v>
      </c>
      <c r="W505" s="3">
        <v>45349</v>
      </c>
      <c r="X505" t="b">
        <v>0</v>
      </c>
      <c r="Y505" t="b">
        <v>1</v>
      </c>
      <c r="Z505" t="s">
        <v>92</v>
      </c>
      <c r="AA505" t="s">
        <v>97</v>
      </c>
      <c r="AB505">
        <v>13</v>
      </c>
      <c r="AO505" t="str">
        <f t="shared" si="27"/>
        <v>41-60</v>
      </c>
      <c r="BD505">
        <v>2</v>
      </c>
      <c r="BF505" cm="1">
        <f t="array" ref="BF505">CORREL(J505:J1505,S505:S1505)</f>
        <v>-0.0467943210929144</v>
      </c>
      <c r="BH505">
        <v>2</v>
      </c>
      <c r="BI505">
        <f t="shared" si="25"/>
        <v>1</v>
      </c>
      <c r="BJ505">
        <f t="shared" si="26"/>
        <v>2</v>
      </c>
    </row>
    <row r="506" spans="1:62">
      <c r="A506" s="1">
        <v>317839785</v>
      </c>
      <c r="B506">
        <v>19</v>
      </c>
      <c r="C506" t="s">
        <v>59</v>
      </c>
      <c r="D506" t="s">
        <v>74</v>
      </c>
      <c r="E506" t="s">
        <v>103</v>
      </c>
      <c r="F506" t="s">
        <v>87</v>
      </c>
      <c r="G506" t="s">
        <v>60</v>
      </c>
      <c r="H506" t="s">
        <v>667</v>
      </c>
      <c r="I506" t="s">
        <v>137</v>
      </c>
      <c r="J506" s="2">
        <v>218.65</v>
      </c>
      <c r="K506">
        <v>3</v>
      </c>
      <c r="L506" t="s">
        <v>85</v>
      </c>
      <c r="M506">
        <v>4</v>
      </c>
      <c r="N506">
        <v>2</v>
      </c>
      <c r="O506">
        <v>2</v>
      </c>
      <c r="P506" t="s">
        <v>84</v>
      </c>
      <c r="Q506" t="s">
        <v>109</v>
      </c>
      <c r="R506">
        <v>0</v>
      </c>
      <c r="S506">
        <v>9</v>
      </c>
      <c r="T506" t="s">
        <v>79</v>
      </c>
      <c r="U506" t="s">
        <v>90</v>
      </c>
      <c r="V506" t="s">
        <v>69</v>
      </c>
      <c r="W506" s="3">
        <v>45490</v>
      </c>
      <c r="X506" t="b">
        <v>1</v>
      </c>
      <c r="Y506" t="b">
        <v>1</v>
      </c>
      <c r="Z506" t="s">
        <v>92</v>
      </c>
      <c r="AA506" t="s">
        <v>83</v>
      </c>
      <c r="AB506">
        <v>4</v>
      </c>
      <c r="AO506" t="str">
        <f t="shared" si="27"/>
        <v>18-25</v>
      </c>
      <c r="BD506">
        <v>3</v>
      </c>
      <c r="BF506" cm="1">
        <f t="array" ref="BF506">CORREL(J506:J1506,S506:S1506)</f>
        <v>-0.0439175458330699</v>
      </c>
      <c r="BH506">
        <v>9</v>
      </c>
      <c r="BI506">
        <f t="shared" si="25"/>
        <v>0.333333333333333</v>
      </c>
      <c r="BJ506">
        <f t="shared" si="26"/>
        <v>27</v>
      </c>
    </row>
    <row r="507" spans="1:62">
      <c r="A507" s="1">
        <v>580598187</v>
      </c>
      <c r="B507">
        <v>27</v>
      </c>
      <c r="C507" t="s">
        <v>73</v>
      </c>
      <c r="D507" t="s">
        <v>74</v>
      </c>
      <c r="E507" t="s">
        <v>98</v>
      </c>
      <c r="F507" t="s">
        <v>75</v>
      </c>
      <c r="G507" t="s">
        <v>60</v>
      </c>
      <c r="H507" t="s">
        <v>668</v>
      </c>
      <c r="I507" t="s">
        <v>147</v>
      </c>
      <c r="J507" s="2">
        <v>207.66</v>
      </c>
      <c r="K507">
        <v>10</v>
      </c>
      <c r="L507" t="s">
        <v>78</v>
      </c>
      <c r="M507">
        <v>2</v>
      </c>
      <c r="N507">
        <v>3</v>
      </c>
      <c r="O507">
        <v>1</v>
      </c>
      <c r="P507" t="s">
        <v>74</v>
      </c>
      <c r="Q507" t="s">
        <v>109</v>
      </c>
      <c r="R507">
        <v>2</v>
      </c>
      <c r="S507">
        <v>2</v>
      </c>
      <c r="T507" t="s">
        <v>79</v>
      </c>
      <c r="U507" t="s">
        <v>105</v>
      </c>
      <c r="V507" t="s">
        <v>96</v>
      </c>
      <c r="W507" s="3">
        <v>45481</v>
      </c>
      <c r="X507" t="b">
        <v>0</v>
      </c>
      <c r="Y507" t="b">
        <v>1</v>
      </c>
      <c r="Z507" t="s">
        <v>82</v>
      </c>
      <c r="AA507" t="s">
        <v>83</v>
      </c>
      <c r="AB507">
        <v>8</v>
      </c>
      <c r="AO507" t="str">
        <f t="shared" si="27"/>
        <v>26-40</v>
      </c>
      <c r="BD507">
        <v>10</v>
      </c>
      <c r="BF507" cm="1">
        <f t="array" ref="BF507">CORREL(J507:J1507,S507:S1507)</f>
        <v>-0.0428890586321054</v>
      </c>
      <c r="BH507">
        <v>2</v>
      </c>
      <c r="BI507">
        <f t="shared" si="25"/>
        <v>5</v>
      </c>
      <c r="BJ507">
        <f t="shared" si="26"/>
        <v>0.4</v>
      </c>
    </row>
    <row r="508" spans="1:62">
      <c r="A508" s="1">
        <v>748826648</v>
      </c>
      <c r="B508">
        <v>34</v>
      </c>
      <c r="C508" t="s">
        <v>59</v>
      </c>
      <c r="D508" t="s">
        <v>74</v>
      </c>
      <c r="E508" t="s">
        <v>61</v>
      </c>
      <c r="F508" t="s">
        <v>75</v>
      </c>
      <c r="G508" t="s">
        <v>74</v>
      </c>
      <c r="H508" t="s">
        <v>669</v>
      </c>
      <c r="I508" t="s">
        <v>143</v>
      </c>
      <c r="J508" s="2">
        <v>141.09</v>
      </c>
      <c r="K508">
        <v>7</v>
      </c>
      <c r="L508" t="s">
        <v>78</v>
      </c>
      <c r="M508">
        <v>3</v>
      </c>
      <c r="N508">
        <v>4</v>
      </c>
      <c r="O508">
        <v>0</v>
      </c>
      <c r="P508" t="s">
        <v>74</v>
      </c>
      <c r="Q508" t="s">
        <v>109</v>
      </c>
      <c r="R508">
        <v>2</v>
      </c>
      <c r="S508">
        <v>3</v>
      </c>
      <c r="T508" t="s">
        <v>74</v>
      </c>
      <c r="U508" t="s">
        <v>105</v>
      </c>
      <c r="V508" t="s">
        <v>91</v>
      </c>
      <c r="W508" s="3">
        <v>45462</v>
      </c>
      <c r="X508" t="b">
        <v>0</v>
      </c>
      <c r="Y508" t="b">
        <v>1</v>
      </c>
      <c r="Z508" t="s">
        <v>82</v>
      </c>
      <c r="AA508" t="s">
        <v>97</v>
      </c>
      <c r="AB508">
        <v>1</v>
      </c>
      <c r="AO508" t="str">
        <f t="shared" si="27"/>
        <v>26-40</v>
      </c>
      <c r="BD508">
        <v>7</v>
      </c>
      <c r="BF508" cm="1">
        <f t="array" ref="BF508">CORREL(J508:J1508,S508:S1508)</f>
        <v>-0.0442691740793966</v>
      </c>
      <c r="BH508">
        <v>3</v>
      </c>
      <c r="BI508">
        <f t="shared" si="25"/>
        <v>2.33333333333333</v>
      </c>
      <c r="BJ508">
        <f t="shared" si="26"/>
        <v>1.28571428571429</v>
      </c>
    </row>
    <row r="509" spans="1:62">
      <c r="A509" s="4" t="s">
        <v>670</v>
      </c>
      <c r="B509">
        <v>39</v>
      </c>
      <c r="C509" t="s">
        <v>73</v>
      </c>
      <c r="D509" t="s">
        <v>74</v>
      </c>
      <c r="E509" t="s">
        <v>103</v>
      </c>
      <c r="F509" t="s">
        <v>62</v>
      </c>
      <c r="G509" t="s">
        <v>60</v>
      </c>
      <c r="H509" t="s">
        <v>671</v>
      </c>
      <c r="I509" t="s">
        <v>129</v>
      </c>
      <c r="J509" s="2">
        <v>142.7</v>
      </c>
      <c r="K509">
        <v>6</v>
      </c>
      <c r="L509" t="s">
        <v>78</v>
      </c>
      <c r="M509">
        <v>3</v>
      </c>
      <c r="N509">
        <v>2</v>
      </c>
      <c r="O509">
        <v>1</v>
      </c>
      <c r="P509" t="s">
        <v>66</v>
      </c>
      <c r="Q509" t="s">
        <v>109</v>
      </c>
      <c r="R509">
        <v>0</v>
      </c>
      <c r="S509">
        <v>4</v>
      </c>
      <c r="T509" t="s">
        <v>66</v>
      </c>
      <c r="U509" t="s">
        <v>105</v>
      </c>
      <c r="V509" t="s">
        <v>69</v>
      </c>
      <c r="W509" s="3">
        <v>45429</v>
      </c>
      <c r="X509" t="b">
        <v>0</v>
      </c>
      <c r="Y509" t="b">
        <v>1</v>
      </c>
      <c r="Z509" t="s">
        <v>92</v>
      </c>
      <c r="AA509" t="s">
        <v>71</v>
      </c>
      <c r="AB509">
        <v>11</v>
      </c>
      <c r="AO509" t="str">
        <f t="shared" si="27"/>
        <v>26-40</v>
      </c>
      <c r="BD509">
        <v>6</v>
      </c>
      <c r="BF509" cm="1">
        <f t="array" ref="BF509">CORREL(J509:J1509,S509:S1509)</f>
        <v>-0.0461906279468444</v>
      </c>
      <c r="BH509">
        <v>4</v>
      </c>
      <c r="BI509">
        <f t="shared" si="25"/>
        <v>1.5</v>
      </c>
      <c r="BJ509">
        <f t="shared" si="26"/>
        <v>2.66666666666667</v>
      </c>
    </row>
    <row r="510" spans="1:62">
      <c r="A510" s="1">
        <v>465781425</v>
      </c>
      <c r="B510">
        <v>44</v>
      </c>
      <c r="C510" t="s">
        <v>73</v>
      </c>
      <c r="D510" t="s">
        <v>74</v>
      </c>
      <c r="E510" t="s">
        <v>103</v>
      </c>
      <c r="F510" t="s">
        <v>87</v>
      </c>
      <c r="G510" t="s">
        <v>74</v>
      </c>
      <c r="H510" t="s">
        <v>672</v>
      </c>
      <c r="I510" t="s">
        <v>120</v>
      </c>
      <c r="J510" s="2">
        <v>64.09</v>
      </c>
      <c r="K510">
        <v>10</v>
      </c>
      <c r="L510" t="s">
        <v>85</v>
      </c>
      <c r="M510">
        <v>5</v>
      </c>
      <c r="N510">
        <v>5</v>
      </c>
      <c r="O510">
        <v>0</v>
      </c>
      <c r="P510" t="s">
        <v>66</v>
      </c>
      <c r="Q510" t="s">
        <v>67</v>
      </c>
      <c r="R510">
        <v>0</v>
      </c>
      <c r="S510">
        <v>6</v>
      </c>
      <c r="T510" t="s">
        <v>84</v>
      </c>
      <c r="U510" t="s">
        <v>105</v>
      </c>
      <c r="V510" t="s">
        <v>69</v>
      </c>
      <c r="W510" s="3">
        <v>45585</v>
      </c>
      <c r="X510" t="b">
        <v>1</v>
      </c>
      <c r="Y510" t="b">
        <v>0</v>
      </c>
      <c r="Z510" t="s">
        <v>70</v>
      </c>
      <c r="AA510" t="s">
        <v>97</v>
      </c>
      <c r="AB510">
        <v>7</v>
      </c>
      <c r="AO510" t="str">
        <f t="shared" si="27"/>
        <v>41-60</v>
      </c>
      <c r="BD510">
        <v>10</v>
      </c>
      <c r="BF510" cm="1">
        <f t="array" ref="BF510">CORREL(J510:J1510,S510:S1510)</f>
        <v>-0.0473421475331736</v>
      </c>
      <c r="BH510">
        <v>6</v>
      </c>
      <c r="BI510">
        <f t="shared" si="25"/>
        <v>1.66666666666667</v>
      </c>
      <c r="BJ510">
        <f t="shared" si="26"/>
        <v>3.6</v>
      </c>
    </row>
    <row r="511" spans="1:62">
      <c r="A511" s="1">
        <v>135885783</v>
      </c>
      <c r="B511">
        <v>20</v>
      </c>
      <c r="C511" t="s">
        <v>59</v>
      </c>
      <c r="D511" t="s">
        <v>60</v>
      </c>
      <c r="E511" t="s">
        <v>61</v>
      </c>
      <c r="F511" t="s">
        <v>75</v>
      </c>
      <c r="G511" t="s">
        <v>60</v>
      </c>
      <c r="H511" t="s">
        <v>517</v>
      </c>
      <c r="I511" t="s">
        <v>137</v>
      </c>
      <c r="J511" s="2">
        <v>126.26</v>
      </c>
      <c r="K511">
        <v>2</v>
      </c>
      <c r="L511" t="s">
        <v>85</v>
      </c>
      <c r="M511">
        <v>4</v>
      </c>
      <c r="N511">
        <v>5</v>
      </c>
      <c r="O511">
        <v>1</v>
      </c>
      <c r="P511" t="s">
        <v>66</v>
      </c>
      <c r="Q511" t="s">
        <v>67</v>
      </c>
      <c r="R511">
        <v>1</v>
      </c>
      <c r="S511">
        <v>6</v>
      </c>
      <c r="T511" t="s">
        <v>66</v>
      </c>
      <c r="U511" t="s">
        <v>90</v>
      </c>
      <c r="V511" t="s">
        <v>91</v>
      </c>
      <c r="W511" s="3">
        <v>45554</v>
      </c>
      <c r="X511" t="b">
        <v>1</v>
      </c>
      <c r="Y511" t="b">
        <v>0</v>
      </c>
      <c r="Z511" t="s">
        <v>102</v>
      </c>
      <c r="AA511" t="s">
        <v>83</v>
      </c>
      <c r="AB511">
        <v>13</v>
      </c>
      <c r="AO511" t="str">
        <f t="shared" si="27"/>
        <v>18-25</v>
      </c>
      <c r="BD511">
        <v>2</v>
      </c>
      <c r="BF511" cm="1">
        <f t="array" ref="BF511">CORREL(J511:J1511,S511:S1511)</f>
        <v>-0.0468609777897532</v>
      </c>
      <c r="BH511">
        <v>6</v>
      </c>
      <c r="BI511">
        <f t="shared" si="25"/>
        <v>0.333333333333333</v>
      </c>
      <c r="BJ511">
        <f t="shared" si="26"/>
        <v>18</v>
      </c>
    </row>
    <row r="512" spans="1:62">
      <c r="A512" s="1">
        <v>250857917</v>
      </c>
      <c r="B512">
        <v>42</v>
      </c>
      <c r="C512" t="s">
        <v>59</v>
      </c>
      <c r="D512" t="s">
        <v>60</v>
      </c>
      <c r="E512" t="s">
        <v>86</v>
      </c>
      <c r="F512" t="s">
        <v>75</v>
      </c>
      <c r="G512" t="s">
        <v>74</v>
      </c>
      <c r="H512" t="s">
        <v>673</v>
      </c>
      <c r="I512" t="s">
        <v>124</v>
      </c>
      <c r="J512" s="2">
        <v>195.05</v>
      </c>
      <c r="K512">
        <v>5</v>
      </c>
      <c r="L512" t="s">
        <v>78</v>
      </c>
      <c r="M512">
        <v>2</v>
      </c>
      <c r="N512">
        <v>1</v>
      </c>
      <c r="O512">
        <v>2</v>
      </c>
      <c r="P512" t="s">
        <v>79</v>
      </c>
      <c r="Q512" t="s">
        <v>80</v>
      </c>
      <c r="R512">
        <v>0</v>
      </c>
      <c r="S512">
        <v>10</v>
      </c>
      <c r="T512" t="s">
        <v>74</v>
      </c>
      <c r="U512" t="s">
        <v>90</v>
      </c>
      <c r="V512" t="s">
        <v>96</v>
      </c>
      <c r="W512" s="3">
        <v>45433</v>
      </c>
      <c r="X512" t="b">
        <v>1</v>
      </c>
      <c r="Y512" t="b">
        <v>0</v>
      </c>
      <c r="Z512" t="s">
        <v>92</v>
      </c>
      <c r="AA512" t="s">
        <v>71</v>
      </c>
      <c r="AB512">
        <v>11</v>
      </c>
      <c r="AO512" t="str">
        <f t="shared" si="27"/>
        <v>41-60</v>
      </c>
      <c r="BD512">
        <v>5</v>
      </c>
      <c r="BF512" cm="1">
        <f t="array" ref="BF512">CORREL(J512:J1512,S512:S1512)</f>
        <v>-0.0464920754798393</v>
      </c>
      <c r="BH512">
        <v>10</v>
      </c>
      <c r="BI512">
        <f t="shared" si="25"/>
        <v>0.5</v>
      </c>
      <c r="BJ512">
        <f t="shared" si="26"/>
        <v>20</v>
      </c>
    </row>
    <row r="513" spans="1:62">
      <c r="A513" s="1">
        <v>660851226</v>
      </c>
      <c r="B513">
        <v>22</v>
      </c>
      <c r="C513" t="s">
        <v>59</v>
      </c>
      <c r="D513" t="s">
        <v>60</v>
      </c>
      <c r="E513" t="s">
        <v>61</v>
      </c>
      <c r="F513" t="s">
        <v>87</v>
      </c>
      <c r="G513" t="s">
        <v>74</v>
      </c>
      <c r="H513" t="s">
        <v>674</v>
      </c>
      <c r="I513" t="s">
        <v>156</v>
      </c>
      <c r="J513" s="2">
        <v>432.84</v>
      </c>
      <c r="K513">
        <v>7</v>
      </c>
      <c r="L513" t="s">
        <v>65</v>
      </c>
      <c r="M513">
        <v>4</v>
      </c>
      <c r="N513">
        <v>5</v>
      </c>
      <c r="O513">
        <v>2</v>
      </c>
      <c r="P513" t="s">
        <v>74</v>
      </c>
      <c r="Q513" t="s">
        <v>109</v>
      </c>
      <c r="R513">
        <v>0</v>
      </c>
      <c r="S513">
        <v>1</v>
      </c>
      <c r="T513" t="s">
        <v>74</v>
      </c>
      <c r="U513" t="s">
        <v>68</v>
      </c>
      <c r="V513" t="s">
        <v>91</v>
      </c>
      <c r="W513" s="3">
        <v>45327</v>
      </c>
      <c r="X513" t="b">
        <v>0</v>
      </c>
      <c r="Y513" t="b">
        <v>0</v>
      </c>
      <c r="Z513" t="s">
        <v>82</v>
      </c>
      <c r="AA513" t="s">
        <v>71</v>
      </c>
      <c r="AB513">
        <v>4</v>
      </c>
      <c r="AO513" t="str">
        <f t="shared" si="27"/>
        <v>18-25</v>
      </c>
      <c r="BD513">
        <v>7</v>
      </c>
      <c r="BF513" cm="1">
        <f t="array" ref="BF513">CORREL(J513:J1513,S513:S1513)</f>
        <v>-0.0445666389477355</v>
      </c>
      <c r="BH513">
        <v>1</v>
      </c>
      <c r="BI513">
        <f t="shared" si="25"/>
        <v>7</v>
      </c>
      <c r="BJ513">
        <f t="shared" si="26"/>
        <v>0.142857142857143</v>
      </c>
    </row>
    <row r="514" spans="1:62">
      <c r="A514" s="1">
        <v>370371765</v>
      </c>
      <c r="B514">
        <v>30</v>
      </c>
      <c r="C514" t="s">
        <v>73</v>
      </c>
      <c r="D514" t="s">
        <v>74</v>
      </c>
      <c r="E514" t="s">
        <v>61</v>
      </c>
      <c r="F514" t="s">
        <v>62</v>
      </c>
      <c r="G514" t="s">
        <v>60</v>
      </c>
      <c r="H514" t="s">
        <v>675</v>
      </c>
      <c r="I514" t="s">
        <v>209</v>
      </c>
      <c r="J514" s="2">
        <v>404.12</v>
      </c>
      <c r="K514">
        <v>6</v>
      </c>
      <c r="L514" t="s">
        <v>78</v>
      </c>
      <c r="M514">
        <v>1</v>
      </c>
      <c r="N514">
        <v>3</v>
      </c>
      <c r="O514">
        <v>1</v>
      </c>
      <c r="P514" t="s">
        <v>74</v>
      </c>
      <c r="Q514" t="s">
        <v>109</v>
      </c>
      <c r="R514">
        <v>0</v>
      </c>
      <c r="S514">
        <v>4</v>
      </c>
      <c r="T514" t="s">
        <v>84</v>
      </c>
      <c r="U514" t="s">
        <v>90</v>
      </c>
      <c r="V514" t="s">
        <v>91</v>
      </c>
      <c r="W514" s="3">
        <v>45351</v>
      </c>
      <c r="X514" t="b">
        <v>0</v>
      </c>
      <c r="Y514" t="b">
        <v>0</v>
      </c>
      <c r="Z514" t="s">
        <v>92</v>
      </c>
      <c r="AA514" t="s">
        <v>97</v>
      </c>
      <c r="AB514">
        <v>11</v>
      </c>
      <c r="AO514" t="str">
        <f t="shared" si="27"/>
        <v>26-40</v>
      </c>
      <c r="BD514">
        <v>6</v>
      </c>
      <c r="BF514" cm="1">
        <f t="array" ref="BF514">CORREL(J514:J1514,S514:S1514)</f>
        <v>-0.0408786389733769</v>
      </c>
      <c r="BH514">
        <v>4</v>
      </c>
      <c r="BI514">
        <f t="shared" si="25"/>
        <v>1.5</v>
      </c>
      <c r="BJ514">
        <f t="shared" si="26"/>
        <v>2.66666666666667</v>
      </c>
    </row>
    <row r="515" spans="1:62">
      <c r="A515" s="1">
        <v>486306410</v>
      </c>
      <c r="B515">
        <v>39</v>
      </c>
      <c r="C515" t="s">
        <v>73</v>
      </c>
      <c r="D515" t="s">
        <v>74</v>
      </c>
      <c r="E515" t="s">
        <v>103</v>
      </c>
      <c r="F515" t="s">
        <v>87</v>
      </c>
      <c r="G515" t="s">
        <v>74</v>
      </c>
      <c r="H515" t="s">
        <v>676</v>
      </c>
      <c r="I515" t="s">
        <v>156</v>
      </c>
      <c r="J515" s="2">
        <v>438.26</v>
      </c>
      <c r="K515">
        <v>10</v>
      </c>
      <c r="L515" t="s">
        <v>78</v>
      </c>
      <c r="M515">
        <v>3</v>
      </c>
      <c r="N515">
        <v>4</v>
      </c>
      <c r="O515">
        <v>1</v>
      </c>
      <c r="P515" t="s">
        <v>66</v>
      </c>
      <c r="Q515" t="s">
        <v>67</v>
      </c>
      <c r="R515">
        <v>1</v>
      </c>
      <c r="S515">
        <v>3</v>
      </c>
      <c r="T515" t="s">
        <v>79</v>
      </c>
      <c r="U515" t="s">
        <v>90</v>
      </c>
      <c r="V515" t="s">
        <v>91</v>
      </c>
      <c r="W515" s="3">
        <v>45477</v>
      </c>
      <c r="X515" t="b">
        <v>1</v>
      </c>
      <c r="Y515" t="b">
        <v>0</v>
      </c>
      <c r="Z515" t="s">
        <v>102</v>
      </c>
      <c r="AA515" t="s">
        <v>97</v>
      </c>
      <c r="AB515">
        <v>10</v>
      </c>
      <c r="AO515" t="str">
        <f t="shared" si="27"/>
        <v>26-40</v>
      </c>
      <c r="BD515">
        <v>10</v>
      </c>
      <c r="BF515" cm="1">
        <f t="array" ref="BF515">CORREL(J515:J1515,S515:S1515)</f>
        <v>-0.0398821957073627</v>
      </c>
      <c r="BH515">
        <v>3</v>
      </c>
      <c r="BI515">
        <f t="shared" ref="BI515:BI578" si="28">K515/S515</f>
        <v>3.33333333333333</v>
      </c>
      <c r="BJ515">
        <f t="shared" ref="BJ515:BJ578" si="29">BH515/BI515</f>
        <v>0.9</v>
      </c>
    </row>
    <row r="516" spans="1:62">
      <c r="A516" s="1">
        <v>504710212</v>
      </c>
      <c r="B516">
        <v>19</v>
      </c>
      <c r="C516" t="s">
        <v>59</v>
      </c>
      <c r="D516" t="s">
        <v>74</v>
      </c>
      <c r="E516" t="s">
        <v>86</v>
      </c>
      <c r="F516" t="s">
        <v>62</v>
      </c>
      <c r="G516" t="s">
        <v>74</v>
      </c>
      <c r="H516" t="s">
        <v>677</v>
      </c>
      <c r="I516" t="s">
        <v>209</v>
      </c>
      <c r="J516" s="2">
        <v>233.02</v>
      </c>
      <c r="K516">
        <v>4</v>
      </c>
      <c r="L516" t="s">
        <v>65</v>
      </c>
      <c r="M516">
        <v>3</v>
      </c>
      <c r="N516">
        <v>3</v>
      </c>
      <c r="O516">
        <v>1</v>
      </c>
      <c r="P516" t="s">
        <v>79</v>
      </c>
      <c r="Q516" t="s">
        <v>80</v>
      </c>
      <c r="R516">
        <v>0</v>
      </c>
      <c r="S516">
        <v>3</v>
      </c>
      <c r="T516" t="s">
        <v>79</v>
      </c>
      <c r="U516" t="s">
        <v>90</v>
      </c>
      <c r="V516" t="s">
        <v>110</v>
      </c>
      <c r="W516" s="3">
        <v>45594</v>
      </c>
      <c r="X516" t="b">
        <v>0</v>
      </c>
      <c r="Y516" t="b">
        <v>0</v>
      </c>
      <c r="Z516" t="s">
        <v>92</v>
      </c>
      <c r="AA516" t="s">
        <v>83</v>
      </c>
      <c r="AB516">
        <v>8</v>
      </c>
      <c r="AO516" t="str">
        <f t="shared" si="27"/>
        <v>18-25</v>
      </c>
      <c r="BD516">
        <v>4</v>
      </c>
      <c r="BF516" cm="1">
        <f t="array" ref="BF516">CORREL(J516:J1516,S516:S1516)</f>
        <v>-0.0377370891776373</v>
      </c>
      <c r="BH516">
        <v>3</v>
      </c>
      <c r="BI516">
        <f t="shared" si="28"/>
        <v>1.33333333333333</v>
      </c>
      <c r="BJ516">
        <f t="shared" si="29"/>
        <v>2.25</v>
      </c>
    </row>
    <row r="517" spans="1:62">
      <c r="A517" s="1">
        <v>486425768</v>
      </c>
      <c r="B517">
        <v>26</v>
      </c>
      <c r="C517" t="s">
        <v>59</v>
      </c>
      <c r="D517" t="s">
        <v>60</v>
      </c>
      <c r="E517" t="s">
        <v>98</v>
      </c>
      <c r="F517" t="s">
        <v>62</v>
      </c>
      <c r="G517" t="s">
        <v>60</v>
      </c>
      <c r="H517" t="s">
        <v>678</v>
      </c>
      <c r="I517" t="s">
        <v>129</v>
      </c>
      <c r="J517" s="2">
        <v>273.41</v>
      </c>
      <c r="K517">
        <v>7</v>
      </c>
      <c r="L517" t="s">
        <v>85</v>
      </c>
      <c r="M517">
        <v>3</v>
      </c>
      <c r="N517">
        <v>5</v>
      </c>
      <c r="O517">
        <v>2</v>
      </c>
      <c r="P517" t="s">
        <v>84</v>
      </c>
      <c r="Q517" t="s">
        <v>109</v>
      </c>
      <c r="R517">
        <v>0</v>
      </c>
      <c r="S517">
        <v>9</v>
      </c>
      <c r="T517" t="s">
        <v>79</v>
      </c>
      <c r="U517" t="s">
        <v>68</v>
      </c>
      <c r="V517" t="s">
        <v>96</v>
      </c>
      <c r="W517" s="3">
        <v>45582</v>
      </c>
      <c r="X517" t="b">
        <v>1</v>
      </c>
      <c r="Y517" t="b">
        <v>0</v>
      </c>
      <c r="Z517" t="s">
        <v>102</v>
      </c>
      <c r="AA517" t="s">
        <v>83</v>
      </c>
      <c r="AB517">
        <v>2</v>
      </c>
      <c r="AO517" t="str">
        <f t="shared" si="27"/>
        <v>26-40</v>
      </c>
      <c r="BD517">
        <v>7</v>
      </c>
      <c r="BF517" cm="1">
        <f t="array" ref="BF517">CORREL(J517:J1517,S517:S1517)</f>
        <v>-0.038380376820733</v>
      </c>
      <c r="BH517">
        <v>9</v>
      </c>
      <c r="BI517">
        <f t="shared" si="28"/>
        <v>0.777777777777778</v>
      </c>
      <c r="BJ517">
        <f t="shared" si="29"/>
        <v>11.5714285714286</v>
      </c>
    </row>
    <row r="518" spans="1:62">
      <c r="A518" s="1">
        <v>151529751</v>
      </c>
      <c r="B518">
        <v>21</v>
      </c>
      <c r="C518" t="s">
        <v>59</v>
      </c>
      <c r="D518" t="s">
        <v>74</v>
      </c>
      <c r="E518" t="s">
        <v>61</v>
      </c>
      <c r="F518" t="s">
        <v>75</v>
      </c>
      <c r="G518" t="s">
        <v>60</v>
      </c>
      <c r="H518" t="s">
        <v>679</v>
      </c>
      <c r="I518" t="s">
        <v>100</v>
      </c>
      <c r="J518" s="2">
        <v>338.96</v>
      </c>
      <c r="K518">
        <v>10</v>
      </c>
      <c r="L518" t="s">
        <v>85</v>
      </c>
      <c r="M518">
        <v>1</v>
      </c>
      <c r="N518">
        <v>4</v>
      </c>
      <c r="O518">
        <v>2</v>
      </c>
      <c r="P518" t="s">
        <v>74</v>
      </c>
      <c r="Q518" t="s">
        <v>67</v>
      </c>
      <c r="R518">
        <v>1</v>
      </c>
      <c r="S518">
        <v>9</v>
      </c>
      <c r="T518" t="s">
        <v>74</v>
      </c>
      <c r="U518" t="s">
        <v>105</v>
      </c>
      <c r="V518" t="s">
        <v>91</v>
      </c>
      <c r="W518" s="3">
        <v>45600</v>
      </c>
      <c r="X518" t="b">
        <v>1</v>
      </c>
      <c r="Y518" t="b">
        <v>1</v>
      </c>
      <c r="Z518" t="s">
        <v>82</v>
      </c>
      <c r="AA518" t="s">
        <v>83</v>
      </c>
      <c r="AB518">
        <v>4</v>
      </c>
      <c r="AO518" t="str">
        <f t="shared" si="27"/>
        <v>18-25</v>
      </c>
      <c r="BD518">
        <v>10</v>
      </c>
      <c r="BF518" cm="1">
        <f t="array" ref="BF518">CORREL(J518:J1518,S518:S1518)</f>
        <v>-0.0383761164070888</v>
      </c>
      <c r="BH518">
        <v>9</v>
      </c>
      <c r="BI518">
        <f t="shared" si="28"/>
        <v>1.11111111111111</v>
      </c>
      <c r="BJ518">
        <f t="shared" si="29"/>
        <v>8.1</v>
      </c>
    </row>
    <row r="519" spans="1:62">
      <c r="A519" s="1">
        <v>234519920</v>
      </c>
      <c r="B519">
        <v>37</v>
      </c>
      <c r="C519" t="s">
        <v>73</v>
      </c>
      <c r="D519" t="s">
        <v>60</v>
      </c>
      <c r="E519" t="s">
        <v>103</v>
      </c>
      <c r="F519" t="s">
        <v>87</v>
      </c>
      <c r="G519" t="s">
        <v>74</v>
      </c>
      <c r="H519" t="s">
        <v>680</v>
      </c>
      <c r="I519" t="s">
        <v>118</v>
      </c>
      <c r="J519" s="2">
        <v>75.91</v>
      </c>
      <c r="K519">
        <v>12</v>
      </c>
      <c r="L519" t="s">
        <v>65</v>
      </c>
      <c r="M519">
        <v>3</v>
      </c>
      <c r="N519">
        <v>5</v>
      </c>
      <c r="O519">
        <v>2</v>
      </c>
      <c r="P519" t="s">
        <v>84</v>
      </c>
      <c r="Q519" t="s">
        <v>109</v>
      </c>
      <c r="R519">
        <v>0</v>
      </c>
      <c r="S519">
        <v>6</v>
      </c>
      <c r="T519" t="s">
        <v>66</v>
      </c>
      <c r="U519" t="s">
        <v>105</v>
      </c>
      <c r="V519" t="s">
        <v>81</v>
      </c>
      <c r="W519" s="3">
        <v>45617</v>
      </c>
      <c r="X519" t="b">
        <v>1</v>
      </c>
      <c r="Y519" t="b">
        <v>1</v>
      </c>
      <c r="Z519" t="s">
        <v>102</v>
      </c>
      <c r="AA519" t="s">
        <v>71</v>
      </c>
      <c r="AB519">
        <v>1</v>
      </c>
      <c r="AO519" t="str">
        <f t="shared" si="27"/>
        <v>26-40</v>
      </c>
      <c r="BD519">
        <v>12</v>
      </c>
      <c r="BF519" cm="1">
        <f t="array" ref="BF519">CORREL(J519:J1519,S519:S1519)</f>
        <v>-0.0396752329841785</v>
      </c>
      <c r="BH519">
        <v>6</v>
      </c>
      <c r="BI519">
        <f t="shared" si="28"/>
        <v>2</v>
      </c>
      <c r="BJ519">
        <f t="shared" si="29"/>
        <v>3</v>
      </c>
    </row>
    <row r="520" spans="1:62">
      <c r="A520" s="4" t="s">
        <v>681</v>
      </c>
      <c r="B520">
        <v>23</v>
      </c>
      <c r="C520" t="s">
        <v>73</v>
      </c>
      <c r="D520" t="s">
        <v>74</v>
      </c>
      <c r="E520" t="s">
        <v>61</v>
      </c>
      <c r="F520" t="s">
        <v>75</v>
      </c>
      <c r="G520" t="s">
        <v>74</v>
      </c>
      <c r="H520" t="s">
        <v>682</v>
      </c>
      <c r="I520" t="s">
        <v>115</v>
      </c>
      <c r="J520" s="2">
        <v>425.21</v>
      </c>
      <c r="K520">
        <v>12</v>
      </c>
      <c r="L520" t="s">
        <v>85</v>
      </c>
      <c r="M520">
        <v>2</v>
      </c>
      <c r="N520">
        <v>4</v>
      </c>
      <c r="O520">
        <v>2</v>
      </c>
      <c r="P520" t="s">
        <v>84</v>
      </c>
      <c r="Q520" t="s">
        <v>67</v>
      </c>
      <c r="R520">
        <v>0</v>
      </c>
      <c r="S520">
        <v>4</v>
      </c>
      <c r="T520" t="s">
        <v>74</v>
      </c>
      <c r="U520" t="s">
        <v>105</v>
      </c>
      <c r="V520" t="s">
        <v>96</v>
      </c>
      <c r="W520" s="3">
        <v>45376</v>
      </c>
      <c r="X520" t="b">
        <v>1</v>
      </c>
      <c r="Y520" t="b">
        <v>1</v>
      </c>
      <c r="Z520" t="s">
        <v>102</v>
      </c>
      <c r="AA520" t="s">
        <v>97</v>
      </c>
      <c r="AB520">
        <v>12</v>
      </c>
      <c r="AO520" t="str">
        <f t="shared" si="27"/>
        <v>18-25</v>
      </c>
      <c r="BD520">
        <v>12</v>
      </c>
      <c r="BF520" cm="1">
        <f t="array" ref="BF520">CORREL(J520:J1520,S520:S1520)</f>
        <v>-0.0391826105785722</v>
      </c>
      <c r="BH520">
        <v>4</v>
      </c>
      <c r="BI520">
        <f t="shared" si="28"/>
        <v>3</v>
      </c>
      <c r="BJ520">
        <f t="shared" si="29"/>
        <v>1.33333333333333</v>
      </c>
    </row>
    <row r="521" spans="1:62">
      <c r="A521" s="1">
        <v>435950966</v>
      </c>
      <c r="B521">
        <v>46</v>
      </c>
      <c r="C521" t="s">
        <v>73</v>
      </c>
      <c r="D521" t="s">
        <v>60</v>
      </c>
      <c r="E521" t="s">
        <v>61</v>
      </c>
      <c r="F521" t="s">
        <v>87</v>
      </c>
      <c r="G521" t="s">
        <v>60</v>
      </c>
      <c r="H521" t="s">
        <v>683</v>
      </c>
      <c r="I521" t="s">
        <v>133</v>
      </c>
      <c r="J521" s="2">
        <v>268.8</v>
      </c>
      <c r="K521">
        <v>2</v>
      </c>
      <c r="L521" t="s">
        <v>78</v>
      </c>
      <c r="M521">
        <v>1</v>
      </c>
      <c r="N521">
        <v>3</v>
      </c>
      <c r="O521">
        <v>0</v>
      </c>
      <c r="P521" t="s">
        <v>74</v>
      </c>
      <c r="Q521" t="s">
        <v>109</v>
      </c>
      <c r="R521">
        <v>1</v>
      </c>
      <c r="S521">
        <v>7</v>
      </c>
      <c r="T521" t="s">
        <v>66</v>
      </c>
      <c r="U521" t="s">
        <v>105</v>
      </c>
      <c r="V521" t="s">
        <v>91</v>
      </c>
      <c r="W521" s="3">
        <v>45402</v>
      </c>
      <c r="X521" t="b">
        <v>0</v>
      </c>
      <c r="Y521" t="b">
        <v>0</v>
      </c>
      <c r="Z521" t="s">
        <v>70</v>
      </c>
      <c r="AA521" t="s">
        <v>83</v>
      </c>
      <c r="AB521">
        <v>12</v>
      </c>
      <c r="AO521" t="str">
        <f t="shared" si="27"/>
        <v>41-60</v>
      </c>
      <c r="BD521">
        <v>2</v>
      </c>
      <c r="BF521" cm="1">
        <f t="array" ref="BF521">CORREL(J521:J1521,S521:S1521)</f>
        <v>-0.0380111272297992</v>
      </c>
      <c r="BH521">
        <v>7</v>
      </c>
      <c r="BI521">
        <f t="shared" si="28"/>
        <v>0.285714285714286</v>
      </c>
      <c r="BJ521">
        <f t="shared" si="29"/>
        <v>24.5</v>
      </c>
    </row>
    <row r="522" spans="1:62">
      <c r="A522" s="1">
        <v>565920089</v>
      </c>
      <c r="B522">
        <v>35</v>
      </c>
      <c r="C522" t="s">
        <v>59</v>
      </c>
      <c r="D522" t="s">
        <v>60</v>
      </c>
      <c r="E522" t="s">
        <v>103</v>
      </c>
      <c r="F522" t="s">
        <v>87</v>
      </c>
      <c r="G522" t="s">
        <v>74</v>
      </c>
      <c r="H522" t="s">
        <v>684</v>
      </c>
      <c r="I522" t="s">
        <v>122</v>
      </c>
      <c r="J522" s="2">
        <v>170.71</v>
      </c>
      <c r="K522">
        <v>10</v>
      </c>
      <c r="L522" t="s">
        <v>65</v>
      </c>
      <c r="M522">
        <v>5</v>
      </c>
      <c r="N522">
        <v>3</v>
      </c>
      <c r="O522">
        <v>0</v>
      </c>
      <c r="P522" t="s">
        <v>84</v>
      </c>
      <c r="Q522" t="s">
        <v>67</v>
      </c>
      <c r="R522">
        <v>1</v>
      </c>
      <c r="S522">
        <v>9</v>
      </c>
      <c r="T522" t="s">
        <v>84</v>
      </c>
      <c r="U522" t="s">
        <v>105</v>
      </c>
      <c r="V522" t="s">
        <v>69</v>
      </c>
      <c r="W522" s="3">
        <v>45396</v>
      </c>
      <c r="X522" t="b">
        <v>1</v>
      </c>
      <c r="Y522" t="b">
        <v>1</v>
      </c>
      <c r="Z522" t="s">
        <v>102</v>
      </c>
      <c r="AA522" t="s">
        <v>71</v>
      </c>
      <c r="AB522">
        <v>7</v>
      </c>
      <c r="AO522" t="str">
        <f t="shared" si="27"/>
        <v>26-40</v>
      </c>
      <c r="BD522">
        <v>10</v>
      </c>
      <c r="BF522" cm="1">
        <f t="array" ref="BF522">CORREL(J522:J1522,S522:S1522)</f>
        <v>-0.0379545114687878</v>
      </c>
      <c r="BH522">
        <v>9</v>
      </c>
      <c r="BI522">
        <f t="shared" si="28"/>
        <v>1.11111111111111</v>
      </c>
      <c r="BJ522">
        <f t="shared" si="29"/>
        <v>8.1</v>
      </c>
    </row>
    <row r="523" spans="1:62">
      <c r="A523" s="1">
        <v>293741297</v>
      </c>
      <c r="B523">
        <v>33</v>
      </c>
      <c r="C523" t="s">
        <v>175</v>
      </c>
      <c r="D523" t="s">
        <v>60</v>
      </c>
      <c r="E523" t="s">
        <v>98</v>
      </c>
      <c r="F523" t="s">
        <v>75</v>
      </c>
      <c r="G523" t="s">
        <v>60</v>
      </c>
      <c r="H523" t="s">
        <v>685</v>
      </c>
      <c r="I523" t="s">
        <v>120</v>
      </c>
      <c r="J523" s="2">
        <v>444.05</v>
      </c>
      <c r="K523">
        <v>10</v>
      </c>
      <c r="L523" t="s">
        <v>85</v>
      </c>
      <c r="M523">
        <v>5</v>
      </c>
      <c r="N523">
        <v>4</v>
      </c>
      <c r="O523">
        <v>0</v>
      </c>
      <c r="P523" t="s">
        <v>84</v>
      </c>
      <c r="Q523" t="s">
        <v>80</v>
      </c>
      <c r="R523">
        <v>1</v>
      </c>
      <c r="S523">
        <v>8</v>
      </c>
      <c r="T523" t="s">
        <v>79</v>
      </c>
      <c r="U523" t="s">
        <v>105</v>
      </c>
      <c r="V523" t="s">
        <v>81</v>
      </c>
      <c r="W523" s="3">
        <v>45447</v>
      </c>
      <c r="X523" t="b">
        <v>1</v>
      </c>
      <c r="Y523" t="b">
        <v>1</v>
      </c>
      <c r="Z523" t="s">
        <v>82</v>
      </c>
      <c r="AA523" t="s">
        <v>83</v>
      </c>
      <c r="AB523">
        <v>8</v>
      </c>
      <c r="AO523" t="str">
        <f t="shared" si="27"/>
        <v>26-40</v>
      </c>
      <c r="BD523">
        <v>10</v>
      </c>
      <c r="BF523" cm="1">
        <f t="array" ref="BF523">CORREL(J523:J1523,S523:S1523)</f>
        <v>-0.0359287653838799</v>
      </c>
      <c r="BH523">
        <v>8</v>
      </c>
      <c r="BI523">
        <f t="shared" si="28"/>
        <v>1.25</v>
      </c>
      <c r="BJ523">
        <f t="shared" si="29"/>
        <v>6.4</v>
      </c>
    </row>
    <row r="524" spans="1:62">
      <c r="A524" s="1">
        <v>807286133</v>
      </c>
      <c r="B524">
        <v>47</v>
      </c>
      <c r="C524" t="s">
        <v>73</v>
      </c>
      <c r="D524" t="s">
        <v>60</v>
      </c>
      <c r="E524" t="s">
        <v>103</v>
      </c>
      <c r="F524" t="s">
        <v>75</v>
      </c>
      <c r="G524" t="s">
        <v>60</v>
      </c>
      <c r="H524" t="s">
        <v>686</v>
      </c>
      <c r="I524" t="s">
        <v>64</v>
      </c>
      <c r="J524" s="2">
        <v>255.1</v>
      </c>
      <c r="K524">
        <v>5</v>
      </c>
      <c r="L524" t="s">
        <v>65</v>
      </c>
      <c r="M524">
        <v>5</v>
      </c>
      <c r="N524">
        <v>1</v>
      </c>
      <c r="O524">
        <v>2</v>
      </c>
      <c r="P524" t="s">
        <v>74</v>
      </c>
      <c r="Q524" t="s">
        <v>109</v>
      </c>
      <c r="R524">
        <v>1</v>
      </c>
      <c r="S524">
        <v>1</v>
      </c>
      <c r="T524" t="s">
        <v>84</v>
      </c>
      <c r="U524" t="s">
        <v>105</v>
      </c>
      <c r="V524" t="s">
        <v>81</v>
      </c>
      <c r="W524" s="3">
        <v>45319</v>
      </c>
      <c r="X524" t="b">
        <v>1</v>
      </c>
      <c r="Y524" t="b">
        <v>0</v>
      </c>
      <c r="Z524" t="s">
        <v>102</v>
      </c>
      <c r="AA524" t="s">
        <v>71</v>
      </c>
      <c r="AB524">
        <v>14</v>
      </c>
      <c r="AO524" t="str">
        <f t="shared" si="27"/>
        <v>41-60</v>
      </c>
      <c r="BD524">
        <v>5</v>
      </c>
      <c r="BF524" cm="1">
        <f t="array" ref="BF524">CORREL(J524:J1524,S524:S1524)</f>
        <v>-0.0384169727541774</v>
      </c>
      <c r="BH524">
        <v>1</v>
      </c>
      <c r="BI524">
        <f t="shared" si="28"/>
        <v>5</v>
      </c>
      <c r="BJ524">
        <f t="shared" si="29"/>
        <v>0.2</v>
      </c>
    </row>
    <row r="525" spans="1:62">
      <c r="A525" s="1">
        <v>585027490</v>
      </c>
      <c r="B525">
        <v>32</v>
      </c>
      <c r="C525" t="s">
        <v>73</v>
      </c>
      <c r="D525" t="s">
        <v>74</v>
      </c>
      <c r="E525" t="s">
        <v>98</v>
      </c>
      <c r="F525" t="s">
        <v>62</v>
      </c>
      <c r="G525" t="s">
        <v>74</v>
      </c>
      <c r="H525" t="s">
        <v>687</v>
      </c>
      <c r="I525" t="s">
        <v>147</v>
      </c>
      <c r="J525" s="2">
        <v>236.44</v>
      </c>
      <c r="K525">
        <v>6</v>
      </c>
      <c r="L525" t="s">
        <v>65</v>
      </c>
      <c r="M525">
        <v>4</v>
      </c>
      <c r="N525">
        <v>4</v>
      </c>
      <c r="O525">
        <v>0</v>
      </c>
      <c r="P525" t="s">
        <v>79</v>
      </c>
      <c r="Q525" t="s">
        <v>109</v>
      </c>
      <c r="R525">
        <v>2</v>
      </c>
      <c r="S525">
        <v>2</v>
      </c>
      <c r="T525" t="s">
        <v>66</v>
      </c>
      <c r="U525" t="s">
        <v>90</v>
      </c>
      <c r="V525" t="s">
        <v>81</v>
      </c>
      <c r="W525" s="3">
        <v>45427</v>
      </c>
      <c r="X525" t="b">
        <v>0</v>
      </c>
      <c r="Y525" t="b">
        <v>0</v>
      </c>
      <c r="Z525" t="s">
        <v>92</v>
      </c>
      <c r="AA525" t="s">
        <v>83</v>
      </c>
      <c r="AB525">
        <v>6</v>
      </c>
      <c r="AO525" t="str">
        <f t="shared" si="27"/>
        <v>26-40</v>
      </c>
      <c r="BD525">
        <v>6</v>
      </c>
      <c r="BF525" cm="1">
        <f t="array" ref="BF525">CORREL(J525:J1525,S525:S1525)</f>
        <v>-0.0390675315523487</v>
      </c>
      <c r="BH525">
        <v>2</v>
      </c>
      <c r="BI525">
        <f t="shared" si="28"/>
        <v>3</v>
      </c>
      <c r="BJ525">
        <f t="shared" si="29"/>
        <v>0.666666666666667</v>
      </c>
    </row>
    <row r="526" spans="1:62">
      <c r="A526" s="1">
        <v>235370742</v>
      </c>
      <c r="B526">
        <v>20</v>
      </c>
      <c r="C526" t="s">
        <v>73</v>
      </c>
      <c r="D526" t="s">
        <v>60</v>
      </c>
      <c r="E526" t="s">
        <v>98</v>
      </c>
      <c r="F526" t="s">
        <v>62</v>
      </c>
      <c r="G526" t="s">
        <v>74</v>
      </c>
      <c r="H526" t="s">
        <v>688</v>
      </c>
      <c r="I526" t="s">
        <v>100</v>
      </c>
      <c r="J526" s="2">
        <v>201.69</v>
      </c>
      <c r="K526">
        <v>11</v>
      </c>
      <c r="L526" t="s">
        <v>65</v>
      </c>
      <c r="M526">
        <v>4</v>
      </c>
      <c r="N526">
        <v>5</v>
      </c>
      <c r="O526">
        <v>0</v>
      </c>
      <c r="P526" t="s">
        <v>74</v>
      </c>
      <c r="Q526" t="s">
        <v>109</v>
      </c>
      <c r="R526">
        <v>2</v>
      </c>
      <c r="S526">
        <v>8</v>
      </c>
      <c r="T526" t="s">
        <v>84</v>
      </c>
      <c r="U526" t="s">
        <v>68</v>
      </c>
      <c r="V526" t="s">
        <v>96</v>
      </c>
      <c r="W526" s="3">
        <v>45492</v>
      </c>
      <c r="X526" t="b">
        <v>1</v>
      </c>
      <c r="Y526" t="b">
        <v>0</v>
      </c>
      <c r="Z526" t="s">
        <v>102</v>
      </c>
      <c r="AA526" t="s">
        <v>71</v>
      </c>
      <c r="AB526">
        <v>3</v>
      </c>
      <c r="AO526" t="str">
        <f t="shared" si="27"/>
        <v>18-25</v>
      </c>
      <c r="BD526">
        <v>11</v>
      </c>
      <c r="BF526" cm="1">
        <f t="array" ref="BF526">CORREL(J526:J1526,S526:S1526)</f>
        <v>-0.039931241069761</v>
      </c>
      <c r="BH526">
        <v>8</v>
      </c>
      <c r="BI526">
        <f t="shared" si="28"/>
        <v>1.375</v>
      </c>
      <c r="BJ526">
        <f t="shared" si="29"/>
        <v>5.81818181818182</v>
      </c>
    </row>
    <row r="527" spans="1:62">
      <c r="A527" s="1">
        <v>224833115</v>
      </c>
      <c r="B527">
        <v>37</v>
      </c>
      <c r="C527" t="s">
        <v>59</v>
      </c>
      <c r="D527" t="s">
        <v>74</v>
      </c>
      <c r="E527" t="s">
        <v>86</v>
      </c>
      <c r="F527" t="s">
        <v>62</v>
      </c>
      <c r="G527" t="s">
        <v>60</v>
      </c>
      <c r="H527" t="s">
        <v>689</v>
      </c>
      <c r="I527" t="s">
        <v>143</v>
      </c>
      <c r="J527" s="2">
        <v>390.51</v>
      </c>
      <c r="K527">
        <v>6</v>
      </c>
      <c r="L527" t="s">
        <v>85</v>
      </c>
      <c r="M527">
        <v>3</v>
      </c>
      <c r="N527">
        <v>2</v>
      </c>
      <c r="O527">
        <v>0</v>
      </c>
      <c r="P527" t="s">
        <v>79</v>
      </c>
      <c r="Q527" t="s">
        <v>109</v>
      </c>
      <c r="R527">
        <v>0</v>
      </c>
      <c r="S527">
        <v>2</v>
      </c>
      <c r="T527" t="s">
        <v>74</v>
      </c>
      <c r="U527" t="s">
        <v>105</v>
      </c>
      <c r="V527" t="s">
        <v>110</v>
      </c>
      <c r="W527" s="3">
        <v>45397</v>
      </c>
      <c r="X527" t="b">
        <v>0</v>
      </c>
      <c r="Y527" t="b">
        <v>0</v>
      </c>
      <c r="Z527" t="s">
        <v>82</v>
      </c>
      <c r="AA527" t="s">
        <v>97</v>
      </c>
      <c r="AB527">
        <v>6</v>
      </c>
      <c r="AO527" t="str">
        <f t="shared" si="27"/>
        <v>26-40</v>
      </c>
      <c r="BD527">
        <v>6</v>
      </c>
      <c r="BF527" cm="1">
        <f t="array" ref="BF527">CORREL(J527:J1527,S527:S1527)</f>
        <v>-0.0389000487864564</v>
      </c>
      <c r="BH527">
        <v>2</v>
      </c>
      <c r="BI527">
        <f t="shared" si="28"/>
        <v>3</v>
      </c>
      <c r="BJ527">
        <f t="shared" si="29"/>
        <v>0.666666666666667</v>
      </c>
    </row>
    <row r="528" spans="1:62">
      <c r="A528" s="1">
        <v>573725969</v>
      </c>
      <c r="B528">
        <v>35</v>
      </c>
      <c r="C528" t="s">
        <v>175</v>
      </c>
      <c r="D528" t="s">
        <v>74</v>
      </c>
      <c r="E528" t="s">
        <v>103</v>
      </c>
      <c r="F528" t="s">
        <v>87</v>
      </c>
      <c r="G528" t="s">
        <v>74</v>
      </c>
      <c r="H528" t="s">
        <v>690</v>
      </c>
      <c r="I528" t="s">
        <v>171</v>
      </c>
      <c r="J528" s="2">
        <v>442.29</v>
      </c>
      <c r="K528">
        <v>9</v>
      </c>
      <c r="L528" t="s">
        <v>65</v>
      </c>
      <c r="M528">
        <v>1</v>
      </c>
      <c r="N528">
        <v>2</v>
      </c>
      <c r="O528">
        <v>0</v>
      </c>
      <c r="P528" t="s">
        <v>79</v>
      </c>
      <c r="Q528" t="s">
        <v>67</v>
      </c>
      <c r="R528">
        <v>1</v>
      </c>
      <c r="S528">
        <v>2</v>
      </c>
      <c r="T528" t="s">
        <v>84</v>
      </c>
      <c r="U528" t="s">
        <v>68</v>
      </c>
      <c r="V528" t="s">
        <v>81</v>
      </c>
      <c r="W528" s="3">
        <v>45546</v>
      </c>
      <c r="X528" t="b">
        <v>0</v>
      </c>
      <c r="Y528" t="b">
        <v>0</v>
      </c>
      <c r="Z528" t="s">
        <v>102</v>
      </c>
      <c r="AA528" t="s">
        <v>97</v>
      </c>
      <c r="AB528">
        <v>13</v>
      </c>
      <c r="AO528" t="str">
        <f t="shared" si="27"/>
        <v>26-40</v>
      </c>
      <c r="BD528">
        <v>9</v>
      </c>
      <c r="BF528" cm="1">
        <f t="array" ref="BF528">CORREL(J528:J1528,S528:S1528)</f>
        <v>-0.0367372156488613</v>
      </c>
      <c r="BH528">
        <v>2</v>
      </c>
      <c r="BI528">
        <f t="shared" si="28"/>
        <v>4.5</v>
      </c>
      <c r="BJ528">
        <f t="shared" si="29"/>
        <v>0.444444444444444</v>
      </c>
    </row>
    <row r="529" spans="1:62">
      <c r="A529" s="1">
        <v>372839076</v>
      </c>
      <c r="B529">
        <v>18</v>
      </c>
      <c r="C529" t="s">
        <v>59</v>
      </c>
      <c r="D529" t="s">
        <v>60</v>
      </c>
      <c r="E529" t="s">
        <v>86</v>
      </c>
      <c r="F529" t="s">
        <v>75</v>
      </c>
      <c r="G529" t="s">
        <v>74</v>
      </c>
      <c r="H529" t="s">
        <v>691</v>
      </c>
      <c r="I529" t="s">
        <v>100</v>
      </c>
      <c r="J529" s="2">
        <v>89.6</v>
      </c>
      <c r="K529">
        <v>7</v>
      </c>
      <c r="L529" t="s">
        <v>78</v>
      </c>
      <c r="M529">
        <v>5</v>
      </c>
      <c r="N529">
        <v>3</v>
      </c>
      <c r="O529">
        <v>2</v>
      </c>
      <c r="P529" t="s">
        <v>66</v>
      </c>
      <c r="Q529" t="s">
        <v>80</v>
      </c>
      <c r="R529">
        <v>1</v>
      </c>
      <c r="S529">
        <v>5</v>
      </c>
      <c r="T529" t="s">
        <v>84</v>
      </c>
      <c r="U529" t="s">
        <v>105</v>
      </c>
      <c r="V529" t="s">
        <v>110</v>
      </c>
      <c r="W529" s="3">
        <v>45361</v>
      </c>
      <c r="X529" t="b">
        <v>0</v>
      </c>
      <c r="Y529" t="b">
        <v>0</v>
      </c>
      <c r="Z529" t="s">
        <v>102</v>
      </c>
      <c r="AA529" t="s">
        <v>83</v>
      </c>
      <c r="AB529">
        <v>8</v>
      </c>
      <c r="AO529" t="str">
        <f t="shared" si="27"/>
        <v>18-25</v>
      </c>
      <c r="BD529">
        <v>7</v>
      </c>
      <c r="BF529" cm="1">
        <f t="array" ref="BF529">CORREL(J529:J1529,S529:S1529)</f>
        <v>-0.0335506825484369</v>
      </c>
      <c r="BH529">
        <v>5</v>
      </c>
      <c r="BI529">
        <f t="shared" si="28"/>
        <v>1.4</v>
      </c>
      <c r="BJ529">
        <f t="shared" si="29"/>
        <v>3.57142857142857</v>
      </c>
    </row>
    <row r="530" spans="1:62">
      <c r="A530" s="1">
        <v>390753518</v>
      </c>
      <c r="B530">
        <v>27</v>
      </c>
      <c r="C530" t="s">
        <v>73</v>
      </c>
      <c r="D530" t="s">
        <v>60</v>
      </c>
      <c r="E530" t="s">
        <v>98</v>
      </c>
      <c r="F530" t="s">
        <v>75</v>
      </c>
      <c r="G530" t="s">
        <v>74</v>
      </c>
      <c r="H530" t="s">
        <v>692</v>
      </c>
      <c r="I530" t="s">
        <v>113</v>
      </c>
      <c r="J530" s="2">
        <v>166.74</v>
      </c>
      <c r="K530">
        <v>6</v>
      </c>
      <c r="L530" t="s">
        <v>65</v>
      </c>
      <c r="M530">
        <v>2</v>
      </c>
      <c r="N530">
        <v>5</v>
      </c>
      <c r="O530">
        <v>0</v>
      </c>
      <c r="P530" t="s">
        <v>74</v>
      </c>
      <c r="Q530" t="s">
        <v>80</v>
      </c>
      <c r="R530">
        <v>0</v>
      </c>
      <c r="S530">
        <v>6</v>
      </c>
      <c r="T530" t="s">
        <v>84</v>
      </c>
      <c r="U530" t="s">
        <v>105</v>
      </c>
      <c r="V530" t="s">
        <v>96</v>
      </c>
      <c r="W530" s="3">
        <v>45305</v>
      </c>
      <c r="X530" t="b">
        <v>0</v>
      </c>
      <c r="Y530" t="b">
        <v>0</v>
      </c>
      <c r="Z530" t="s">
        <v>92</v>
      </c>
      <c r="AA530" t="s">
        <v>71</v>
      </c>
      <c r="AB530">
        <v>1</v>
      </c>
      <c r="AO530" t="str">
        <f t="shared" si="27"/>
        <v>26-40</v>
      </c>
      <c r="BD530">
        <v>6</v>
      </c>
      <c r="BF530" cm="1">
        <f t="array" ref="BF530">CORREL(J530:J1530,S530:S1530)</f>
        <v>-0.0341497804484736</v>
      </c>
      <c r="BH530">
        <v>6</v>
      </c>
      <c r="BI530">
        <f t="shared" si="28"/>
        <v>1</v>
      </c>
      <c r="BJ530">
        <f t="shared" si="29"/>
        <v>6</v>
      </c>
    </row>
    <row r="531" spans="1:62">
      <c r="A531" s="1">
        <v>843157189</v>
      </c>
      <c r="B531">
        <v>29</v>
      </c>
      <c r="C531" t="s">
        <v>59</v>
      </c>
      <c r="D531" t="s">
        <v>74</v>
      </c>
      <c r="E531" t="s">
        <v>61</v>
      </c>
      <c r="F531" t="s">
        <v>62</v>
      </c>
      <c r="G531" t="s">
        <v>60</v>
      </c>
      <c r="H531" t="s">
        <v>693</v>
      </c>
      <c r="I531" t="s">
        <v>115</v>
      </c>
      <c r="J531" s="2">
        <v>299.28</v>
      </c>
      <c r="K531">
        <v>12</v>
      </c>
      <c r="L531" t="s">
        <v>65</v>
      </c>
      <c r="M531">
        <v>4</v>
      </c>
      <c r="N531">
        <v>5</v>
      </c>
      <c r="O531">
        <v>1</v>
      </c>
      <c r="P531" t="s">
        <v>74</v>
      </c>
      <c r="Q531" t="s">
        <v>67</v>
      </c>
      <c r="R531">
        <v>0</v>
      </c>
      <c r="S531">
        <v>9</v>
      </c>
      <c r="T531" t="s">
        <v>74</v>
      </c>
      <c r="U531" t="s">
        <v>90</v>
      </c>
      <c r="V531" t="s">
        <v>91</v>
      </c>
      <c r="W531" s="3">
        <v>45441</v>
      </c>
      <c r="X531" t="b">
        <v>0</v>
      </c>
      <c r="Y531" t="b">
        <v>0</v>
      </c>
      <c r="Z531" t="s">
        <v>82</v>
      </c>
      <c r="AA531" t="s">
        <v>83</v>
      </c>
      <c r="AB531">
        <v>3</v>
      </c>
      <c r="AO531" t="str">
        <f t="shared" si="27"/>
        <v>26-40</v>
      </c>
      <c r="BD531">
        <v>12</v>
      </c>
      <c r="BF531" cm="1">
        <f t="array" ref="BF531">CORREL(J531:J1531,S531:S1531)</f>
        <v>-0.0338544685844511</v>
      </c>
      <c r="BH531">
        <v>9</v>
      </c>
      <c r="BI531">
        <f t="shared" si="28"/>
        <v>1.33333333333333</v>
      </c>
      <c r="BJ531">
        <f t="shared" si="29"/>
        <v>6.75</v>
      </c>
    </row>
    <row r="532" spans="1:62">
      <c r="A532" s="1">
        <v>759645589</v>
      </c>
      <c r="B532">
        <v>24</v>
      </c>
      <c r="C532" t="s">
        <v>73</v>
      </c>
      <c r="D532" t="s">
        <v>74</v>
      </c>
      <c r="E532" t="s">
        <v>98</v>
      </c>
      <c r="F532" t="s">
        <v>87</v>
      </c>
      <c r="G532" t="s">
        <v>74</v>
      </c>
      <c r="H532" t="s">
        <v>694</v>
      </c>
      <c r="I532" t="s">
        <v>113</v>
      </c>
      <c r="J532" s="2">
        <v>404.57</v>
      </c>
      <c r="K532">
        <v>5</v>
      </c>
      <c r="L532" t="s">
        <v>65</v>
      </c>
      <c r="M532">
        <v>4</v>
      </c>
      <c r="N532">
        <v>3</v>
      </c>
      <c r="O532">
        <v>0</v>
      </c>
      <c r="P532" t="s">
        <v>79</v>
      </c>
      <c r="Q532" t="s">
        <v>80</v>
      </c>
      <c r="R532">
        <v>2</v>
      </c>
      <c r="S532">
        <v>7</v>
      </c>
      <c r="T532" t="s">
        <v>66</v>
      </c>
      <c r="U532" t="s">
        <v>90</v>
      </c>
      <c r="V532" t="s">
        <v>91</v>
      </c>
      <c r="W532" s="3">
        <v>45535</v>
      </c>
      <c r="X532" t="b">
        <v>0</v>
      </c>
      <c r="Y532" t="b">
        <v>1</v>
      </c>
      <c r="Z532" t="s">
        <v>70</v>
      </c>
      <c r="AA532" t="s">
        <v>97</v>
      </c>
      <c r="AB532">
        <v>14</v>
      </c>
      <c r="AO532" t="str">
        <f t="shared" si="27"/>
        <v>18-25</v>
      </c>
      <c r="BD532">
        <v>5</v>
      </c>
      <c r="BF532" cm="1">
        <f t="array" ref="BF532">CORREL(J532:J1532,S532:S1532)</f>
        <v>-0.0343628414395805</v>
      </c>
      <c r="BH532">
        <v>7</v>
      </c>
      <c r="BI532">
        <f t="shared" si="28"/>
        <v>0.714285714285714</v>
      </c>
      <c r="BJ532">
        <f t="shared" si="29"/>
        <v>9.8</v>
      </c>
    </row>
    <row r="533" spans="1:62">
      <c r="A533" s="4" t="s">
        <v>695</v>
      </c>
      <c r="B533">
        <v>27</v>
      </c>
      <c r="C533" t="s">
        <v>73</v>
      </c>
      <c r="D533" t="s">
        <v>74</v>
      </c>
      <c r="E533" t="s">
        <v>86</v>
      </c>
      <c r="F533" t="s">
        <v>62</v>
      </c>
      <c r="G533" t="s">
        <v>74</v>
      </c>
      <c r="H533" t="s">
        <v>696</v>
      </c>
      <c r="I533" t="s">
        <v>133</v>
      </c>
      <c r="J533" s="2">
        <v>344.81</v>
      </c>
      <c r="K533">
        <v>10</v>
      </c>
      <c r="L533" t="s">
        <v>78</v>
      </c>
      <c r="M533">
        <v>3</v>
      </c>
      <c r="N533">
        <v>1</v>
      </c>
      <c r="O533">
        <v>2</v>
      </c>
      <c r="P533" t="s">
        <v>84</v>
      </c>
      <c r="Q533" t="s">
        <v>67</v>
      </c>
      <c r="R533">
        <v>1</v>
      </c>
      <c r="S533">
        <v>9</v>
      </c>
      <c r="T533" t="s">
        <v>74</v>
      </c>
      <c r="U533" t="s">
        <v>105</v>
      </c>
      <c r="V533" t="s">
        <v>96</v>
      </c>
      <c r="W533" s="3">
        <v>45649</v>
      </c>
      <c r="X533" t="b">
        <v>1</v>
      </c>
      <c r="Y533" t="b">
        <v>1</v>
      </c>
      <c r="Z533" t="s">
        <v>82</v>
      </c>
      <c r="AA533" t="s">
        <v>97</v>
      </c>
      <c r="AB533">
        <v>14</v>
      </c>
      <c r="AO533" t="str">
        <f t="shared" si="27"/>
        <v>26-40</v>
      </c>
      <c r="BD533">
        <v>10</v>
      </c>
      <c r="BF533" cm="1">
        <f t="array" ref="BF533">CORREL(J533:J1533,S533:S1533)</f>
        <v>-0.0355250919867691</v>
      </c>
      <c r="BH533">
        <v>9</v>
      </c>
      <c r="BI533">
        <f t="shared" si="28"/>
        <v>1.11111111111111</v>
      </c>
      <c r="BJ533">
        <f t="shared" si="29"/>
        <v>8.1</v>
      </c>
    </row>
    <row r="534" spans="1:62">
      <c r="A534" s="4" t="s">
        <v>697</v>
      </c>
      <c r="B534">
        <v>34</v>
      </c>
      <c r="C534" t="s">
        <v>73</v>
      </c>
      <c r="D534" t="s">
        <v>74</v>
      </c>
      <c r="E534" t="s">
        <v>86</v>
      </c>
      <c r="F534" t="s">
        <v>87</v>
      </c>
      <c r="G534" t="s">
        <v>74</v>
      </c>
      <c r="H534" t="s">
        <v>698</v>
      </c>
      <c r="I534" t="s">
        <v>122</v>
      </c>
      <c r="J534" s="2">
        <v>217.84</v>
      </c>
      <c r="K534">
        <v>10</v>
      </c>
      <c r="L534" t="s">
        <v>85</v>
      </c>
      <c r="M534">
        <v>2</v>
      </c>
      <c r="N534">
        <v>2</v>
      </c>
      <c r="O534">
        <v>2</v>
      </c>
      <c r="P534" t="s">
        <v>66</v>
      </c>
      <c r="Q534" t="s">
        <v>109</v>
      </c>
      <c r="R534">
        <v>0</v>
      </c>
      <c r="S534">
        <v>8</v>
      </c>
      <c r="T534" t="s">
        <v>74</v>
      </c>
      <c r="U534" t="s">
        <v>68</v>
      </c>
      <c r="V534" t="s">
        <v>110</v>
      </c>
      <c r="W534" s="3">
        <v>45307</v>
      </c>
      <c r="X534" t="b">
        <v>1</v>
      </c>
      <c r="Y534" t="b">
        <v>1</v>
      </c>
      <c r="Z534" t="s">
        <v>82</v>
      </c>
      <c r="AA534" t="s">
        <v>83</v>
      </c>
      <c r="AB534">
        <v>11</v>
      </c>
      <c r="AO534" t="str">
        <f t="shared" si="27"/>
        <v>26-40</v>
      </c>
      <c r="BD534">
        <v>10</v>
      </c>
      <c r="BF534" cm="1">
        <f t="array" ref="BF534">CORREL(J534:J1534,S534:S1534)</f>
        <v>-0.0369819689775477</v>
      </c>
      <c r="BH534">
        <v>8</v>
      </c>
      <c r="BI534">
        <f t="shared" si="28"/>
        <v>1.25</v>
      </c>
      <c r="BJ534">
        <f t="shared" si="29"/>
        <v>6.4</v>
      </c>
    </row>
    <row r="535" spans="1:62">
      <c r="A535" s="4" t="s">
        <v>699</v>
      </c>
      <c r="B535">
        <v>21</v>
      </c>
      <c r="C535" t="s">
        <v>73</v>
      </c>
      <c r="D535" t="s">
        <v>60</v>
      </c>
      <c r="E535" t="s">
        <v>103</v>
      </c>
      <c r="F535" t="s">
        <v>62</v>
      </c>
      <c r="G535" t="s">
        <v>60</v>
      </c>
      <c r="H535" t="s">
        <v>700</v>
      </c>
      <c r="I535" t="s">
        <v>113</v>
      </c>
      <c r="J535" s="2">
        <v>445.34</v>
      </c>
      <c r="K535">
        <v>9</v>
      </c>
      <c r="L535" t="s">
        <v>78</v>
      </c>
      <c r="M535">
        <v>5</v>
      </c>
      <c r="N535">
        <v>2</v>
      </c>
      <c r="O535">
        <v>1</v>
      </c>
      <c r="P535" t="s">
        <v>84</v>
      </c>
      <c r="Q535" t="s">
        <v>67</v>
      </c>
      <c r="R535">
        <v>1</v>
      </c>
      <c r="S535">
        <v>3</v>
      </c>
      <c r="T535" t="s">
        <v>74</v>
      </c>
      <c r="U535" t="s">
        <v>68</v>
      </c>
      <c r="V535" t="s">
        <v>110</v>
      </c>
      <c r="W535" s="3">
        <v>45355</v>
      </c>
      <c r="X535" t="b">
        <v>1</v>
      </c>
      <c r="Y535" t="b">
        <v>1</v>
      </c>
      <c r="Z535" t="s">
        <v>92</v>
      </c>
      <c r="AA535" t="s">
        <v>71</v>
      </c>
      <c r="AB535">
        <v>3</v>
      </c>
      <c r="AO535" t="str">
        <f t="shared" si="27"/>
        <v>18-25</v>
      </c>
      <c r="BD535">
        <v>9</v>
      </c>
      <c r="BF535" cm="1">
        <f t="array" ref="BF535">CORREL(J535:J1535,S535:S1535)</f>
        <v>-0.0361634821610154</v>
      </c>
      <c r="BH535">
        <v>3</v>
      </c>
      <c r="BI535">
        <f t="shared" si="28"/>
        <v>3</v>
      </c>
      <c r="BJ535">
        <f t="shared" si="29"/>
        <v>1</v>
      </c>
    </row>
    <row r="536" spans="1:62">
      <c r="A536" s="1">
        <v>797596726</v>
      </c>
      <c r="B536">
        <v>18</v>
      </c>
      <c r="C536" t="s">
        <v>73</v>
      </c>
      <c r="D536" t="s">
        <v>74</v>
      </c>
      <c r="E536" t="s">
        <v>98</v>
      </c>
      <c r="F536" t="s">
        <v>75</v>
      </c>
      <c r="G536" t="s">
        <v>74</v>
      </c>
      <c r="H536" t="s">
        <v>701</v>
      </c>
      <c r="I536" t="s">
        <v>95</v>
      </c>
      <c r="J536" s="2">
        <v>151.73</v>
      </c>
      <c r="K536">
        <v>3</v>
      </c>
      <c r="L536" t="s">
        <v>78</v>
      </c>
      <c r="M536">
        <v>2</v>
      </c>
      <c r="N536">
        <v>4</v>
      </c>
      <c r="O536">
        <v>1</v>
      </c>
      <c r="P536" t="s">
        <v>79</v>
      </c>
      <c r="Q536" t="s">
        <v>109</v>
      </c>
      <c r="R536">
        <v>1</v>
      </c>
      <c r="S536">
        <v>3</v>
      </c>
      <c r="T536" t="s">
        <v>66</v>
      </c>
      <c r="U536" t="s">
        <v>90</v>
      </c>
      <c r="V536" t="s">
        <v>96</v>
      </c>
      <c r="W536" s="3">
        <v>45559</v>
      </c>
      <c r="X536" t="b">
        <v>0</v>
      </c>
      <c r="Y536" t="b">
        <v>1</v>
      </c>
      <c r="Z536" t="s">
        <v>82</v>
      </c>
      <c r="AA536" t="s">
        <v>97</v>
      </c>
      <c r="AB536">
        <v>11</v>
      </c>
      <c r="AO536" t="str">
        <f t="shared" si="27"/>
        <v>18-25</v>
      </c>
      <c r="BD536">
        <v>3</v>
      </c>
      <c r="BF536" cm="1">
        <f t="array" ref="BF536">CORREL(J536:J1536,S536:S1536)</f>
        <v>-0.0338422380062947</v>
      </c>
      <c r="BH536">
        <v>3</v>
      </c>
      <c r="BI536">
        <f t="shared" si="28"/>
        <v>1</v>
      </c>
      <c r="BJ536">
        <f t="shared" si="29"/>
        <v>3</v>
      </c>
    </row>
    <row r="537" spans="1:62">
      <c r="A537" s="1">
        <v>128511771</v>
      </c>
      <c r="B537">
        <v>50</v>
      </c>
      <c r="C537" t="s">
        <v>111</v>
      </c>
      <c r="D537" t="s">
        <v>74</v>
      </c>
      <c r="E537" t="s">
        <v>61</v>
      </c>
      <c r="F537" t="s">
        <v>75</v>
      </c>
      <c r="G537" t="s">
        <v>74</v>
      </c>
      <c r="H537" t="s">
        <v>702</v>
      </c>
      <c r="I537" t="s">
        <v>131</v>
      </c>
      <c r="J537" s="2">
        <v>123.73</v>
      </c>
      <c r="K537">
        <v>9</v>
      </c>
      <c r="L537" t="s">
        <v>85</v>
      </c>
      <c r="M537">
        <v>1</v>
      </c>
      <c r="N537">
        <v>4</v>
      </c>
      <c r="O537">
        <v>0</v>
      </c>
      <c r="P537" t="s">
        <v>74</v>
      </c>
      <c r="Q537" t="s">
        <v>80</v>
      </c>
      <c r="R537">
        <v>2</v>
      </c>
      <c r="S537">
        <v>5</v>
      </c>
      <c r="T537" t="s">
        <v>74</v>
      </c>
      <c r="U537" t="s">
        <v>90</v>
      </c>
      <c r="V537" t="s">
        <v>69</v>
      </c>
      <c r="W537" s="3">
        <v>45572</v>
      </c>
      <c r="X537" t="b">
        <v>0</v>
      </c>
      <c r="Y537" t="b">
        <v>1</v>
      </c>
      <c r="Z537" t="s">
        <v>70</v>
      </c>
      <c r="AA537" t="s">
        <v>71</v>
      </c>
      <c r="AB537">
        <v>10</v>
      </c>
      <c r="AO537" t="str">
        <f t="shared" si="27"/>
        <v>41-60</v>
      </c>
      <c r="BD537">
        <v>9</v>
      </c>
      <c r="BF537" cm="1">
        <f t="array" ref="BF537">CORREL(J537:J1537,S537:S1537)</f>
        <v>-0.0356929125305507</v>
      </c>
      <c r="BH537">
        <v>5</v>
      </c>
      <c r="BI537">
        <f t="shared" si="28"/>
        <v>1.8</v>
      </c>
      <c r="BJ537">
        <f t="shared" si="29"/>
        <v>2.77777777777778</v>
      </c>
    </row>
    <row r="538" spans="1:62">
      <c r="A538" s="1">
        <v>799601714</v>
      </c>
      <c r="B538">
        <v>31</v>
      </c>
      <c r="C538" t="s">
        <v>73</v>
      </c>
      <c r="D538" t="s">
        <v>60</v>
      </c>
      <c r="E538" t="s">
        <v>86</v>
      </c>
      <c r="F538" t="s">
        <v>87</v>
      </c>
      <c r="G538" t="s">
        <v>74</v>
      </c>
      <c r="H538" t="s">
        <v>703</v>
      </c>
      <c r="I538" t="s">
        <v>178</v>
      </c>
      <c r="J538" s="2">
        <v>370.54</v>
      </c>
      <c r="K538">
        <v>2</v>
      </c>
      <c r="L538" t="s">
        <v>78</v>
      </c>
      <c r="M538">
        <v>3</v>
      </c>
      <c r="N538">
        <v>3</v>
      </c>
      <c r="O538">
        <v>0</v>
      </c>
      <c r="P538" t="s">
        <v>84</v>
      </c>
      <c r="Q538" t="s">
        <v>109</v>
      </c>
      <c r="R538">
        <v>1</v>
      </c>
      <c r="S538">
        <v>9</v>
      </c>
      <c r="T538" t="s">
        <v>84</v>
      </c>
      <c r="U538" t="s">
        <v>90</v>
      </c>
      <c r="V538" t="s">
        <v>69</v>
      </c>
      <c r="W538" s="3">
        <v>45376</v>
      </c>
      <c r="X538" t="b">
        <v>1</v>
      </c>
      <c r="Y538" t="b">
        <v>0</v>
      </c>
      <c r="Z538" t="s">
        <v>92</v>
      </c>
      <c r="AA538" t="s">
        <v>71</v>
      </c>
      <c r="AB538">
        <v>7</v>
      </c>
      <c r="AO538" t="str">
        <f t="shared" si="27"/>
        <v>26-40</v>
      </c>
      <c r="BD538">
        <v>2</v>
      </c>
      <c r="BF538" cm="1">
        <f t="array" ref="BF538">CORREL(J538:J1538,S538:S1538)</f>
        <v>-0.0361703705655218</v>
      </c>
      <c r="BH538">
        <v>9</v>
      </c>
      <c r="BI538">
        <f t="shared" si="28"/>
        <v>0.222222222222222</v>
      </c>
      <c r="BJ538">
        <f t="shared" si="29"/>
        <v>40.5</v>
      </c>
    </row>
    <row r="539" spans="1:62">
      <c r="A539" s="1">
        <v>304176981</v>
      </c>
      <c r="B539">
        <v>45</v>
      </c>
      <c r="C539" t="s">
        <v>73</v>
      </c>
      <c r="D539" t="s">
        <v>74</v>
      </c>
      <c r="E539" t="s">
        <v>61</v>
      </c>
      <c r="F539" t="s">
        <v>87</v>
      </c>
      <c r="G539" t="s">
        <v>74</v>
      </c>
      <c r="H539" t="s">
        <v>704</v>
      </c>
      <c r="I539" t="s">
        <v>135</v>
      </c>
      <c r="J539" s="2">
        <v>152.87</v>
      </c>
      <c r="K539">
        <v>3</v>
      </c>
      <c r="L539" t="s">
        <v>78</v>
      </c>
      <c r="M539">
        <v>1</v>
      </c>
      <c r="N539">
        <v>5</v>
      </c>
      <c r="O539">
        <v>2</v>
      </c>
      <c r="P539" t="s">
        <v>74</v>
      </c>
      <c r="Q539" t="s">
        <v>109</v>
      </c>
      <c r="R539">
        <v>1</v>
      </c>
      <c r="S539">
        <v>8</v>
      </c>
      <c r="T539" t="s">
        <v>66</v>
      </c>
      <c r="U539" t="s">
        <v>68</v>
      </c>
      <c r="V539" t="s">
        <v>91</v>
      </c>
      <c r="W539" s="3">
        <v>45524</v>
      </c>
      <c r="X539" t="b">
        <v>0</v>
      </c>
      <c r="Y539" t="b">
        <v>0</v>
      </c>
      <c r="Z539" t="s">
        <v>92</v>
      </c>
      <c r="AA539" t="s">
        <v>97</v>
      </c>
      <c r="AB539">
        <v>11</v>
      </c>
      <c r="AO539" t="str">
        <f t="shared" si="27"/>
        <v>41-60</v>
      </c>
      <c r="BD539">
        <v>3</v>
      </c>
      <c r="BF539" cm="1">
        <f t="array" ref="BF539">CORREL(J539:J1539,S539:S1539)</f>
        <v>-0.0381760611342047</v>
      </c>
      <c r="BH539">
        <v>8</v>
      </c>
      <c r="BI539">
        <f t="shared" si="28"/>
        <v>0.375</v>
      </c>
      <c r="BJ539">
        <f t="shared" si="29"/>
        <v>21.3333333333333</v>
      </c>
    </row>
    <row r="540" spans="1:62">
      <c r="A540" s="1">
        <v>915325399</v>
      </c>
      <c r="B540">
        <v>29</v>
      </c>
      <c r="C540" t="s">
        <v>73</v>
      </c>
      <c r="D540" t="s">
        <v>60</v>
      </c>
      <c r="E540" t="s">
        <v>86</v>
      </c>
      <c r="F540" t="s">
        <v>87</v>
      </c>
      <c r="G540" t="s">
        <v>60</v>
      </c>
      <c r="H540" t="s">
        <v>705</v>
      </c>
      <c r="I540" t="s">
        <v>147</v>
      </c>
      <c r="J540" s="2">
        <v>295.75</v>
      </c>
      <c r="K540">
        <v>4</v>
      </c>
      <c r="L540" t="s">
        <v>65</v>
      </c>
      <c r="M540">
        <v>1</v>
      </c>
      <c r="N540">
        <v>1</v>
      </c>
      <c r="O540">
        <v>0</v>
      </c>
      <c r="P540" t="s">
        <v>74</v>
      </c>
      <c r="Q540" t="s">
        <v>67</v>
      </c>
      <c r="R540">
        <v>1</v>
      </c>
      <c r="S540">
        <v>10</v>
      </c>
      <c r="T540" t="s">
        <v>84</v>
      </c>
      <c r="U540" t="s">
        <v>68</v>
      </c>
      <c r="V540" t="s">
        <v>69</v>
      </c>
      <c r="W540" s="3">
        <v>45633</v>
      </c>
      <c r="X540" t="b">
        <v>1</v>
      </c>
      <c r="Y540" t="b">
        <v>1</v>
      </c>
      <c r="Z540" t="s">
        <v>70</v>
      </c>
      <c r="AA540" t="s">
        <v>83</v>
      </c>
      <c r="AB540">
        <v>8</v>
      </c>
      <c r="AO540" t="str">
        <f t="shared" ref="AO540:AO603" si="30">IF(B540&lt;=25,"18-25",IF(B540&lt;=40,"26-40",IF(B540&lt;=60,"41-60","Above60")))</f>
        <v>26-40</v>
      </c>
      <c r="BD540">
        <v>4</v>
      </c>
      <c r="BF540" cm="1">
        <f t="array" ref="BF540">CORREL(J540:J1540,S540:S1540)</f>
        <v>-0.0364155255499012</v>
      </c>
      <c r="BH540">
        <v>10</v>
      </c>
      <c r="BI540">
        <f t="shared" si="28"/>
        <v>0.4</v>
      </c>
      <c r="BJ540">
        <f t="shared" si="29"/>
        <v>25</v>
      </c>
    </row>
    <row r="541" spans="1:62">
      <c r="A541" s="1">
        <v>899979041</v>
      </c>
      <c r="B541">
        <v>36</v>
      </c>
      <c r="C541" t="s">
        <v>73</v>
      </c>
      <c r="D541" t="s">
        <v>74</v>
      </c>
      <c r="E541" t="s">
        <v>98</v>
      </c>
      <c r="F541" t="s">
        <v>75</v>
      </c>
      <c r="G541" t="s">
        <v>60</v>
      </c>
      <c r="H541" t="s">
        <v>706</v>
      </c>
      <c r="I541" t="s">
        <v>89</v>
      </c>
      <c r="J541" s="2">
        <v>358.11</v>
      </c>
      <c r="K541">
        <v>11</v>
      </c>
      <c r="L541" t="s">
        <v>65</v>
      </c>
      <c r="M541">
        <v>5</v>
      </c>
      <c r="N541">
        <v>1</v>
      </c>
      <c r="O541">
        <v>0</v>
      </c>
      <c r="P541" t="s">
        <v>74</v>
      </c>
      <c r="Q541" t="s">
        <v>109</v>
      </c>
      <c r="R541">
        <v>0</v>
      </c>
      <c r="S541">
        <v>3</v>
      </c>
      <c r="T541" t="s">
        <v>74</v>
      </c>
      <c r="U541" t="s">
        <v>105</v>
      </c>
      <c r="V541" t="s">
        <v>69</v>
      </c>
      <c r="W541" s="3">
        <v>45538</v>
      </c>
      <c r="X541" t="b">
        <v>0</v>
      </c>
      <c r="Y541" t="b">
        <v>0</v>
      </c>
      <c r="Z541" t="s">
        <v>70</v>
      </c>
      <c r="AA541" t="s">
        <v>83</v>
      </c>
      <c r="AB541">
        <v>11</v>
      </c>
      <c r="AO541" t="str">
        <f t="shared" si="30"/>
        <v>26-40</v>
      </c>
      <c r="BD541">
        <v>11</v>
      </c>
      <c r="BF541" cm="1">
        <f t="array" ref="BF541">CORREL(J541:J1541,S541:S1541)</f>
        <v>-0.0370195794506975</v>
      </c>
      <c r="BH541">
        <v>3</v>
      </c>
      <c r="BI541">
        <f t="shared" si="28"/>
        <v>3.66666666666667</v>
      </c>
      <c r="BJ541">
        <f t="shared" si="29"/>
        <v>0.818181818181818</v>
      </c>
    </row>
    <row r="542" spans="1:62">
      <c r="A542" s="1">
        <v>262356745</v>
      </c>
      <c r="B542">
        <v>27</v>
      </c>
      <c r="C542" t="s">
        <v>59</v>
      </c>
      <c r="D542" t="s">
        <v>74</v>
      </c>
      <c r="E542" t="s">
        <v>98</v>
      </c>
      <c r="F542" t="s">
        <v>87</v>
      </c>
      <c r="G542" t="s">
        <v>74</v>
      </c>
      <c r="H542" t="s">
        <v>707</v>
      </c>
      <c r="I542" t="s">
        <v>209</v>
      </c>
      <c r="J542" s="2">
        <v>63.6</v>
      </c>
      <c r="K542">
        <v>12</v>
      </c>
      <c r="L542" t="s">
        <v>65</v>
      </c>
      <c r="M542">
        <v>5</v>
      </c>
      <c r="N542">
        <v>1</v>
      </c>
      <c r="O542">
        <v>0</v>
      </c>
      <c r="P542" t="s">
        <v>74</v>
      </c>
      <c r="Q542" t="s">
        <v>80</v>
      </c>
      <c r="R542">
        <v>2</v>
      </c>
      <c r="S542">
        <v>1</v>
      </c>
      <c r="T542" t="s">
        <v>66</v>
      </c>
      <c r="U542" t="s">
        <v>105</v>
      </c>
      <c r="V542" t="s">
        <v>81</v>
      </c>
      <c r="W542" s="3">
        <v>45331</v>
      </c>
      <c r="X542" t="b">
        <v>0</v>
      </c>
      <c r="Y542" t="b">
        <v>1</v>
      </c>
      <c r="Z542" t="s">
        <v>82</v>
      </c>
      <c r="AA542" t="s">
        <v>71</v>
      </c>
      <c r="AB542">
        <v>6</v>
      </c>
      <c r="AO542" t="str">
        <f t="shared" si="30"/>
        <v>26-40</v>
      </c>
      <c r="BD542">
        <v>12</v>
      </c>
      <c r="BF542" cm="1">
        <f t="array" ref="BF542">CORREL(J542:J1542,S542:S1542)</f>
        <v>-0.0358952919265272</v>
      </c>
      <c r="BH542">
        <v>1</v>
      </c>
      <c r="BI542">
        <f t="shared" si="28"/>
        <v>12</v>
      </c>
      <c r="BJ542">
        <f t="shared" si="29"/>
        <v>0.0833333333333333</v>
      </c>
    </row>
    <row r="543" spans="1:62">
      <c r="A543" s="1">
        <v>990809462</v>
      </c>
      <c r="B543">
        <v>24</v>
      </c>
      <c r="C543" t="s">
        <v>73</v>
      </c>
      <c r="D543" t="s">
        <v>74</v>
      </c>
      <c r="E543" t="s">
        <v>86</v>
      </c>
      <c r="F543" t="s">
        <v>75</v>
      </c>
      <c r="G543" t="s">
        <v>60</v>
      </c>
      <c r="H543" t="s">
        <v>708</v>
      </c>
      <c r="I543" t="s">
        <v>107</v>
      </c>
      <c r="J543" s="2">
        <v>419.53</v>
      </c>
      <c r="K543">
        <v>3</v>
      </c>
      <c r="L543" t="s">
        <v>65</v>
      </c>
      <c r="M543">
        <v>1</v>
      </c>
      <c r="N543">
        <v>5</v>
      </c>
      <c r="O543">
        <v>2</v>
      </c>
      <c r="P543" t="s">
        <v>74</v>
      </c>
      <c r="Q543" t="s">
        <v>80</v>
      </c>
      <c r="R543">
        <v>2</v>
      </c>
      <c r="S543">
        <v>10</v>
      </c>
      <c r="T543" t="s">
        <v>79</v>
      </c>
      <c r="U543" t="s">
        <v>68</v>
      </c>
      <c r="V543" t="s">
        <v>96</v>
      </c>
      <c r="W543" s="3">
        <v>45378</v>
      </c>
      <c r="X543" t="b">
        <v>0</v>
      </c>
      <c r="Y543" t="b">
        <v>0</v>
      </c>
      <c r="Z543" t="s">
        <v>82</v>
      </c>
      <c r="AA543" t="s">
        <v>97</v>
      </c>
      <c r="AB543">
        <v>6</v>
      </c>
      <c r="AO543" t="str">
        <f t="shared" si="30"/>
        <v>18-25</v>
      </c>
      <c r="BD543">
        <v>3</v>
      </c>
      <c r="BF543" cm="1">
        <f t="array" ref="BF543">CORREL(J543:J1543,S543:S1543)</f>
        <v>-0.0417087073373158</v>
      </c>
      <c r="BH543">
        <v>10</v>
      </c>
      <c r="BI543">
        <f t="shared" si="28"/>
        <v>0.3</v>
      </c>
      <c r="BJ543">
        <f t="shared" si="29"/>
        <v>33.3333333333333</v>
      </c>
    </row>
    <row r="544" spans="1:62">
      <c r="A544" s="1">
        <v>870568987</v>
      </c>
      <c r="B544">
        <v>49</v>
      </c>
      <c r="C544" t="s">
        <v>224</v>
      </c>
      <c r="D544" t="s">
        <v>74</v>
      </c>
      <c r="E544" t="s">
        <v>98</v>
      </c>
      <c r="F544" t="s">
        <v>75</v>
      </c>
      <c r="G544" t="s">
        <v>60</v>
      </c>
      <c r="H544" t="s">
        <v>709</v>
      </c>
      <c r="I544" t="s">
        <v>156</v>
      </c>
      <c r="J544" s="2">
        <v>491.92</v>
      </c>
      <c r="K544">
        <v>10</v>
      </c>
      <c r="L544" t="s">
        <v>78</v>
      </c>
      <c r="M544">
        <v>5</v>
      </c>
      <c r="N544">
        <v>3</v>
      </c>
      <c r="O544">
        <v>0</v>
      </c>
      <c r="P544" t="s">
        <v>79</v>
      </c>
      <c r="Q544" t="s">
        <v>109</v>
      </c>
      <c r="R544">
        <v>1</v>
      </c>
      <c r="S544">
        <v>1</v>
      </c>
      <c r="T544" t="s">
        <v>84</v>
      </c>
      <c r="U544" t="s">
        <v>105</v>
      </c>
      <c r="V544" t="s">
        <v>69</v>
      </c>
      <c r="W544" s="3">
        <v>45655</v>
      </c>
      <c r="X544" t="b">
        <v>0</v>
      </c>
      <c r="Y544" t="b">
        <v>0</v>
      </c>
      <c r="Z544" t="s">
        <v>82</v>
      </c>
      <c r="AA544" t="s">
        <v>83</v>
      </c>
      <c r="AB544">
        <v>2</v>
      </c>
      <c r="AO544" t="str">
        <f t="shared" si="30"/>
        <v>41-60</v>
      </c>
      <c r="BD544">
        <v>10</v>
      </c>
      <c r="BF544" cm="1">
        <f t="array" ref="BF544">CORREL(J544:J1544,S544:S1544)</f>
        <v>-0.0457027064864713</v>
      </c>
      <c r="BH544">
        <v>1</v>
      </c>
      <c r="BI544">
        <f t="shared" si="28"/>
        <v>10</v>
      </c>
      <c r="BJ544">
        <f t="shared" si="29"/>
        <v>0.1</v>
      </c>
    </row>
    <row r="545" spans="1:62">
      <c r="A545" s="4" t="s">
        <v>710</v>
      </c>
      <c r="B545">
        <v>21</v>
      </c>
      <c r="C545" t="s">
        <v>111</v>
      </c>
      <c r="D545" t="s">
        <v>60</v>
      </c>
      <c r="E545" t="s">
        <v>103</v>
      </c>
      <c r="F545" t="s">
        <v>75</v>
      </c>
      <c r="G545" t="s">
        <v>74</v>
      </c>
      <c r="H545" t="s">
        <v>711</v>
      </c>
      <c r="I545" t="s">
        <v>113</v>
      </c>
      <c r="J545" s="2">
        <v>114.44</v>
      </c>
      <c r="K545">
        <v>4</v>
      </c>
      <c r="L545" t="s">
        <v>85</v>
      </c>
      <c r="M545">
        <v>5</v>
      </c>
      <c r="N545">
        <v>3</v>
      </c>
      <c r="O545">
        <v>2</v>
      </c>
      <c r="P545" t="s">
        <v>84</v>
      </c>
      <c r="Q545" t="s">
        <v>80</v>
      </c>
      <c r="R545">
        <v>1</v>
      </c>
      <c r="S545">
        <v>9</v>
      </c>
      <c r="T545" t="s">
        <v>66</v>
      </c>
      <c r="U545" t="s">
        <v>105</v>
      </c>
      <c r="V545" t="s">
        <v>69</v>
      </c>
      <c r="W545" s="3">
        <v>45585</v>
      </c>
      <c r="X545" t="b">
        <v>0</v>
      </c>
      <c r="Y545" t="b">
        <v>0</v>
      </c>
      <c r="Z545" t="s">
        <v>102</v>
      </c>
      <c r="AA545" t="s">
        <v>97</v>
      </c>
      <c r="AB545">
        <v>1</v>
      </c>
      <c r="AO545" t="str">
        <f t="shared" si="30"/>
        <v>18-25</v>
      </c>
      <c r="BD545">
        <v>4</v>
      </c>
      <c r="BF545" cm="1">
        <f t="array" ref="BF545">CORREL(J545:J1545,S545:S1545)</f>
        <v>-0.0402461699508047</v>
      </c>
      <c r="BH545">
        <v>9</v>
      </c>
      <c r="BI545">
        <f t="shared" si="28"/>
        <v>0.444444444444444</v>
      </c>
      <c r="BJ545">
        <f t="shared" si="29"/>
        <v>20.25</v>
      </c>
    </row>
    <row r="546" spans="1:62">
      <c r="A546" s="1">
        <v>734342308</v>
      </c>
      <c r="B546">
        <v>19</v>
      </c>
      <c r="C546" t="s">
        <v>59</v>
      </c>
      <c r="D546" t="s">
        <v>60</v>
      </c>
      <c r="E546" t="s">
        <v>61</v>
      </c>
      <c r="F546" t="s">
        <v>87</v>
      </c>
      <c r="G546" t="s">
        <v>74</v>
      </c>
      <c r="H546" t="s">
        <v>712</v>
      </c>
      <c r="I546" t="s">
        <v>115</v>
      </c>
      <c r="J546" s="2">
        <v>388.82</v>
      </c>
      <c r="K546">
        <v>10</v>
      </c>
      <c r="L546" t="s">
        <v>65</v>
      </c>
      <c r="M546">
        <v>2</v>
      </c>
      <c r="N546">
        <v>3</v>
      </c>
      <c r="O546">
        <v>0</v>
      </c>
      <c r="P546" t="s">
        <v>84</v>
      </c>
      <c r="Q546" t="s">
        <v>109</v>
      </c>
      <c r="R546">
        <v>0</v>
      </c>
      <c r="S546">
        <v>8</v>
      </c>
      <c r="T546" t="s">
        <v>84</v>
      </c>
      <c r="U546" t="s">
        <v>105</v>
      </c>
      <c r="V546" t="s">
        <v>96</v>
      </c>
      <c r="W546" s="3">
        <v>45538</v>
      </c>
      <c r="X546" t="b">
        <v>0</v>
      </c>
      <c r="Y546" t="b">
        <v>0</v>
      </c>
      <c r="Z546" t="s">
        <v>70</v>
      </c>
      <c r="AA546" t="s">
        <v>71</v>
      </c>
      <c r="AB546">
        <v>6</v>
      </c>
      <c r="AO546" t="str">
        <f t="shared" si="30"/>
        <v>18-25</v>
      </c>
      <c r="BD546">
        <v>10</v>
      </c>
      <c r="BF546" cm="1">
        <f t="array" ref="BF546">CORREL(J546:J1546,S546:S1546)</f>
        <v>-0.0369642692094442</v>
      </c>
      <c r="BH546">
        <v>8</v>
      </c>
      <c r="BI546">
        <f t="shared" si="28"/>
        <v>1.25</v>
      </c>
      <c r="BJ546">
        <f t="shared" si="29"/>
        <v>6.4</v>
      </c>
    </row>
    <row r="547" spans="1:62">
      <c r="A547" s="1">
        <v>842606464</v>
      </c>
      <c r="B547">
        <v>23</v>
      </c>
      <c r="C547" t="s">
        <v>59</v>
      </c>
      <c r="D547" t="s">
        <v>60</v>
      </c>
      <c r="E547" t="s">
        <v>61</v>
      </c>
      <c r="F547" t="s">
        <v>62</v>
      </c>
      <c r="G547" t="s">
        <v>74</v>
      </c>
      <c r="H547" t="s">
        <v>713</v>
      </c>
      <c r="I547" t="s">
        <v>115</v>
      </c>
      <c r="J547" s="2">
        <v>58.32</v>
      </c>
      <c r="K547">
        <v>7</v>
      </c>
      <c r="L547" t="s">
        <v>78</v>
      </c>
      <c r="M547">
        <v>1</v>
      </c>
      <c r="N547">
        <v>5</v>
      </c>
      <c r="O547">
        <v>0</v>
      </c>
      <c r="P547" t="s">
        <v>84</v>
      </c>
      <c r="Q547" t="s">
        <v>80</v>
      </c>
      <c r="R547">
        <v>1</v>
      </c>
      <c r="S547">
        <v>6</v>
      </c>
      <c r="T547" t="s">
        <v>84</v>
      </c>
      <c r="U547" t="s">
        <v>90</v>
      </c>
      <c r="V547" t="s">
        <v>81</v>
      </c>
      <c r="W547" s="3">
        <v>45364</v>
      </c>
      <c r="X547" t="b">
        <v>1</v>
      </c>
      <c r="Y547" t="b">
        <v>1</v>
      </c>
      <c r="Z547" t="s">
        <v>70</v>
      </c>
      <c r="AA547" t="s">
        <v>83</v>
      </c>
      <c r="AB547">
        <v>8</v>
      </c>
      <c r="AO547" t="str">
        <f t="shared" si="30"/>
        <v>18-25</v>
      </c>
      <c r="BD547">
        <v>7</v>
      </c>
      <c r="BF547" cm="1">
        <f t="array" ref="BF547">CORREL(J547:J1547,S547:S1547)</f>
        <v>-0.0387308594241401</v>
      </c>
      <c r="BH547">
        <v>6</v>
      </c>
      <c r="BI547">
        <f t="shared" si="28"/>
        <v>1.16666666666667</v>
      </c>
      <c r="BJ547">
        <f t="shared" si="29"/>
        <v>5.14285714285714</v>
      </c>
    </row>
    <row r="548" spans="1:62">
      <c r="A548" s="4" t="s">
        <v>714</v>
      </c>
      <c r="B548">
        <v>28</v>
      </c>
      <c r="C548" t="s">
        <v>59</v>
      </c>
      <c r="D548" t="s">
        <v>74</v>
      </c>
      <c r="E548" t="s">
        <v>103</v>
      </c>
      <c r="F548" t="s">
        <v>87</v>
      </c>
      <c r="G548" t="s">
        <v>74</v>
      </c>
      <c r="H548" t="s">
        <v>715</v>
      </c>
      <c r="I548" t="s">
        <v>156</v>
      </c>
      <c r="J548" s="2">
        <v>464.76</v>
      </c>
      <c r="K548">
        <v>2</v>
      </c>
      <c r="L548" t="s">
        <v>65</v>
      </c>
      <c r="M548">
        <v>5</v>
      </c>
      <c r="N548">
        <v>1</v>
      </c>
      <c r="O548">
        <v>0</v>
      </c>
      <c r="P548" t="s">
        <v>84</v>
      </c>
      <c r="Q548" t="s">
        <v>109</v>
      </c>
      <c r="R548">
        <v>0</v>
      </c>
      <c r="S548">
        <v>3</v>
      </c>
      <c r="T548" t="s">
        <v>84</v>
      </c>
      <c r="U548" t="s">
        <v>105</v>
      </c>
      <c r="V548" t="s">
        <v>91</v>
      </c>
      <c r="W548" s="3">
        <v>45326</v>
      </c>
      <c r="X548" t="b">
        <v>0</v>
      </c>
      <c r="Y548" t="b">
        <v>1</v>
      </c>
      <c r="Z548" t="s">
        <v>70</v>
      </c>
      <c r="AA548" t="s">
        <v>71</v>
      </c>
      <c r="AB548">
        <v>3</v>
      </c>
      <c r="AO548" t="str">
        <f t="shared" si="30"/>
        <v>26-40</v>
      </c>
      <c r="BD548">
        <v>2</v>
      </c>
      <c r="BF548" cm="1">
        <f t="array" ref="BF548">CORREL(J548:J1548,S548:S1548)</f>
        <v>-0.0381379118764119</v>
      </c>
      <c r="BH548">
        <v>3</v>
      </c>
      <c r="BI548">
        <f t="shared" si="28"/>
        <v>0.666666666666667</v>
      </c>
      <c r="BJ548">
        <f t="shared" si="29"/>
        <v>4.5</v>
      </c>
    </row>
    <row r="549" spans="1:62">
      <c r="A549" s="4" t="s">
        <v>716</v>
      </c>
      <c r="B549">
        <v>27</v>
      </c>
      <c r="C549" t="s">
        <v>59</v>
      </c>
      <c r="D549" t="s">
        <v>74</v>
      </c>
      <c r="E549" t="s">
        <v>103</v>
      </c>
      <c r="F549" t="s">
        <v>87</v>
      </c>
      <c r="G549" t="s">
        <v>74</v>
      </c>
      <c r="H549" t="s">
        <v>717</v>
      </c>
      <c r="I549" t="s">
        <v>95</v>
      </c>
      <c r="J549" s="2">
        <v>116.92</v>
      </c>
      <c r="K549">
        <v>7</v>
      </c>
      <c r="L549" t="s">
        <v>65</v>
      </c>
      <c r="M549">
        <v>2</v>
      </c>
      <c r="N549">
        <v>3</v>
      </c>
      <c r="O549">
        <v>2</v>
      </c>
      <c r="P549" t="s">
        <v>66</v>
      </c>
      <c r="Q549" t="s">
        <v>109</v>
      </c>
      <c r="R549">
        <v>2</v>
      </c>
      <c r="S549">
        <v>3</v>
      </c>
      <c r="T549" t="s">
        <v>84</v>
      </c>
      <c r="U549" t="s">
        <v>105</v>
      </c>
      <c r="V549" t="s">
        <v>91</v>
      </c>
      <c r="W549" s="3">
        <v>45382</v>
      </c>
      <c r="X549" t="b">
        <v>1</v>
      </c>
      <c r="Y549" t="b">
        <v>0</v>
      </c>
      <c r="Z549" t="s">
        <v>92</v>
      </c>
      <c r="AA549" t="s">
        <v>71</v>
      </c>
      <c r="AB549">
        <v>14</v>
      </c>
      <c r="AO549" t="str">
        <f t="shared" si="30"/>
        <v>26-40</v>
      </c>
      <c r="BD549">
        <v>7</v>
      </c>
      <c r="BF549" cm="1">
        <f t="array" ref="BF549">CORREL(J549:J1549,S549:S1549)</f>
        <v>-0.0354765529777458</v>
      </c>
      <c r="BH549">
        <v>3</v>
      </c>
      <c r="BI549">
        <f t="shared" si="28"/>
        <v>2.33333333333333</v>
      </c>
      <c r="BJ549">
        <f t="shared" si="29"/>
        <v>1.28571428571429</v>
      </c>
    </row>
    <row r="550" spans="1:62">
      <c r="A550" s="1">
        <v>847248407</v>
      </c>
      <c r="B550">
        <v>47</v>
      </c>
      <c r="C550" t="s">
        <v>59</v>
      </c>
      <c r="D550" t="s">
        <v>74</v>
      </c>
      <c r="E550" t="s">
        <v>103</v>
      </c>
      <c r="F550" t="s">
        <v>62</v>
      </c>
      <c r="G550" t="s">
        <v>60</v>
      </c>
      <c r="H550" t="s">
        <v>718</v>
      </c>
      <c r="I550" t="s">
        <v>209</v>
      </c>
      <c r="J550" s="2">
        <v>396.76</v>
      </c>
      <c r="K550">
        <v>8</v>
      </c>
      <c r="L550" t="s">
        <v>85</v>
      </c>
      <c r="M550">
        <v>3</v>
      </c>
      <c r="N550">
        <v>3</v>
      </c>
      <c r="O550">
        <v>1</v>
      </c>
      <c r="P550" t="s">
        <v>66</v>
      </c>
      <c r="Q550" t="s">
        <v>109</v>
      </c>
      <c r="R550">
        <v>2</v>
      </c>
      <c r="S550">
        <v>4</v>
      </c>
      <c r="T550" t="s">
        <v>74</v>
      </c>
      <c r="U550" t="s">
        <v>68</v>
      </c>
      <c r="V550" t="s">
        <v>110</v>
      </c>
      <c r="W550" s="3">
        <v>45490</v>
      </c>
      <c r="X550" t="b">
        <v>1</v>
      </c>
      <c r="Y550" t="b">
        <v>1</v>
      </c>
      <c r="Z550" t="s">
        <v>102</v>
      </c>
      <c r="AA550" t="s">
        <v>97</v>
      </c>
      <c r="AB550">
        <v>8</v>
      </c>
      <c r="AO550" t="str">
        <f t="shared" si="30"/>
        <v>41-60</v>
      </c>
      <c r="BD550">
        <v>8</v>
      </c>
      <c r="BF550" cm="1">
        <f t="array" ref="BF550">CORREL(J550:J1550,S550:S1550)</f>
        <v>-0.0379405171356177</v>
      </c>
      <c r="BH550">
        <v>4</v>
      </c>
      <c r="BI550">
        <f t="shared" si="28"/>
        <v>2</v>
      </c>
      <c r="BJ550">
        <f t="shared" si="29"/>
        <v>2</v>
      </c>
    </row>
    <row r="551" spans="1:62">
      <c r="A551" s="1">
        <v>457951873</v>
      </c>
      <c r="B551">
        <v>20</v>
      </c>
      <c r="C551" t="s">
        <v>224</v>
      </c>
      <c r="D551" t="s">
        <v>74</v>
      </c>
      <c r="E551" t="s">
        <v>98</v>
      </c>
      <c r="F551" t="s">
        <v>87</v>
      </c>
      <c r="G551" t="s">
        <v>60</v>
      </c>
      <c r="H551" t="s">
        <v>719</v>
      </c>
      <c r="I551" t="s">
        <v>129</v>
      </c>
      <c r="J551" s="2">
        <v>393.35</v>
      </c>
      <c r="K551">
        <v>7</v>
      </c>
      <c r="L551" t="s">
        <v>65</v>
      </c>
      <c r="M551">
        <v>3</v>
      </c>
      <c r="N551">
        <v>4</v>
      </c>
      <c r="O551">
        <v>2</v>
      </c>
      <c r="P551" t="s">
        <v>74</v>
      </c>
      <c r="Q551" t="s">
        <v>80</v>
      </c>
      <c r="R551">
        <v>0</v>
      </c>
      <c r="S551">
        <v>4</v>
      </c>
      <c r="T551" t="s">
        <v>74</v>
      </c>
      <c r="U551" t="s">
        <v>68</v>
      </c>
      <c r="V551" t="s">
        <v>69</v>
      </c>
      <c r="W551" s="3">
        <v>45459</v>
      </c>
      <c r="X551" t="b">
        <v>1</v>
      </c>
      <c r="Y551" t="b">
        <v>1</v>
      </c>
      <c r="Z551" t="s">
        <v>70</v>
      </c>
      <c r="AA551" t="s">
        <v>71</v>
      </c>
      <c r="AB551">
        <v>12</v>
      </c>
      <c r="AO551" t="str">
        <f t="shared" si="30"/>
        <v>18-25</v>
      </c>
      <c r="BD551">
        <v>7</v>
      </c>
      <c r="BF551" cm="1">
        <f t="array" ref="BF551">CORREL(J551:J1551,S551:S1551)</f>
        <v>-0.0369236296835493</v>
      </c>
      <c r="BH551">
        <v>4</v>
      </c>
      <c r="BI551">
        <f t="shared" si="28"/>
        <v>1.75</v>
      </c>
      <c r="BJ551">
        <f t="shared" si="29"/>
        <v>2.28571428571429</v>
      </c>
    </row>
    <row r="552" spans="1:62">
      <c r="A552" s="4" t="s">
        <v>720</v>
      </c>
      <c r="B552">
        <v>26</v>
      </c>
      <c r="C552" t="s">
        <v>59</v>
      </c>
      <c r="D552" t="s">
        <v>74</v>
      </c>
      <c r="E552" t="s">
        <v>86</v>
      </c>
      <c r="F552" t="s">
        <v>87</v>
      </c>
      <c r="G552" t="s">
        <v>74</v>
      </c>
      <c r="H552" t="s">
        <v>721</v>
      </c>
      <c r="I552" t="s">
        <v>131</v>
      </c>
      <c r="J552" s="2">
        <v>114.03</v>
      </c>
      <c r="K552">
        <v>7</v>
      </c>
      <c r="L552" t="s">
        <v>65</v>
      </c>
      <c r="M552">
        <v>4</v>
      </c>
      <c r="N552">
        <v>3</v>
      </c>
      <c r="O552">
        <v>0</v>
      </c>
      <c r="P552" t="s">
        <v>79</v>
      </c>
      <c r="Q552" t="s">
        <v>80</v>
      </c>
      <c r="R552">
        <v>1</v>
      </c>
      <c r="S552">
        <v>10</v>
      </c>
      <c r="T552" t="s">
        <v>74</v>
      </c>
      <c r="U552" t="s">
        <v>68</v>
      </c>
      <c r="V552" t="s">
        <v>69</v>
      </c>
      <c r="W552" s="3">
        <v>45395</v>
      </c>
      <c r="X552" t="b">
        <v>1</v>
      </c>
      <c r="Y552" t="b">
        <v>1</v>
      </c>
      <c r="Z552" t="s">
        <v>102</v>
      </c>
      <c r="AA552" t="s">
        <v>71</v>
      </c>
      <c r="AB552">
        <v>6</v>
      </c>
      <c r="AO552" t="str">
        <f t="shared" si="30"/>
        <v>26-40</v>
      </c>
      <c r="BD552">
        <v>7</v>
      </c>
      <c r="BF552" cm="1">
        <f t="array" ref="BF552">CORREL(J552:J1552,S552:S1552)</f>
        <v>-0.035928218874773</v>
      </c>
      <c r="BH552">
        <v>10</v>
      </c>
      <c r="BI552">
        <f t="shared" si="28"/>
        <v>0.7</v>
      </c>
      <c r="BJ552">
        <f t="shared" si="29"/>
        <v>14.2857142857143</v>
      </c>
    </row>
    <row r="553" spans="1:62">
      <c r="A553" s="4" t="s">
        <v>722</v>
      </c>
      <c r="B553">
        <v>49</v>
      </c>
      <c r="C553" t="s">
        <v>73</v>
      </c>
      <c r="D553" t="s">
        <v>74</v>
      </c>
      <c r="E553" t="s">
        <v>86</v>
      </c>
      <c r="F553" t="s">
        <v>62</v>
      </c>
      <c r="G553" t="s">
        <v>60</v>
      </c>
      <c r="H553" t="s">
        <v>723</v>
      </c>
      <c r="I553" t="s">
        <v>147</v>
      </c>
      <c r="J553" s="2">
        <v>109.97</v>
      </c>
      <c r="K553">
        <v>4</v>
      </c>
      <c r="L553" t="s">
        <v>78</v>
      </c>
      <c r="M553">
        <v>4</v>
      </c>
      <c r="N553">
        <v>4</v>
      </c>
      <c r="O553">
        <v>1</v>
      </c>
      <c r="P553" t="s">
        <v>66</v>
      </c>
      <c r="Q553" t="s">
        <v>109</v>
      </c>
      <c r="R553">
        <v>1</v>
      </c>
      <c r="S553">
        <v>5</v>
      </c>
      <c r="T553" t="s">
        <v>66</v>
      </c>
      <c r="U553" t="s">
        <v>68</v>
      </c>
      <c r="V553" t="s">
        <v>69</v>
      </c>
      <c r="W553" s="3">
        <v>45516</v>
      </c>
      <c r="X553" t="b">
        <v>1</v>
      </c>
      <c r="Y553" t="b">
        <v>0</v>
      </c>
      <c r="Z553" t="s">
        <v>82</v>
      </c>
      <c r="AA553" t="s">
        <v>71</v>
      </c>
      <c r="AB553">
        <v>1</v>
      </c>
      <c r="AO553" t="str">
        <f t="shared" si="30"/>
        <v>41-60</v>
      </c>
      <c r="BD553">
        <v>4</v>
      </c>
      <c r="BF553" cm="1">
        <f t="array" ref="BF553">CORREL(J553:J1553,S553:S1553)</f>
        <v>-0.0316206415681175</v>
      </c>
      <c r="BH553">
        <v>5</v>
      </c>
      <c r="BI553">
        <f t="shared" si="28"/>
        <v>0.8</v>
      </c>
      <c r="BJ553">
        <f t="shared" si="29"/>
        <v>6.25</v>
      </c>
    </row>
    <row r="554" spans="1:62">
      <c r="A554" s="1">
        <v>942884423</v>
      </c>
      <c r="B554">
        <v>39</v>
      </c>
      <c r="C554" t="s">
        <v>59</v>
      </c>
      <c r="D554" t="s">
        <v>74</v>
      </c>
      <c r="E554" t="s">
        <v>98</v>
      </c>
      <c r="F554" t="s">
        <v>87</v>
      </c>
      <c r="G554" t="s">
        <v>74</v>
      </c>
      <c r="H554" t="s">
        <v>724</v>
      </c>
      <c r="I554" t="s">
        <v>174</v>
      </c>
      <c r="J554" s="2">
        <v>310.23</v>
      </c>
      <c r="K554">
        <v>12</v>
      </c>
      <c r="L554" t="s">
        <v>78</v>
      </c>
      <c r="M554">
        <v>1</v>
      </c>
      <c r="N554">
        <v>4</v>
      </c>
      <c r="O554">
        <v>0</v>
      </c>
      <c r="P554" t="s">
        <v>66</v>
      </c>
      <c r="Q554" t="s">
        <v>67</v>
      </c>
      <c r="R554">
        <v>0</v>
      </c>
      <c r="S554">
        <v>6</v>
      </c>
      <c r="T554" t="s">
        <v>66</v>
      </c>
      <c r="U554" t="s">
        <v>105</v>
      </c>
      <c r="V554" t="s">
        <v>81</v>
      </c>
      <c r="W554" s="3">
        <v>45643</v>
      </c>
      <c r="X554" t="b">
        <v>1</v>
      </c>
      <c r="Y554" t="b">
        <v>0</v>
      </c>
      <c r="Z554" t="s">
        <v>92</v>
      </c>
      <c r="AA554" t="s">
        <v>97</v>
      </c>
      <c r="AB554">
        <v>3</v>
      </c>
      <c r="AO554" t="str">
        <f t="shared" si="30"/>
        <v>26-40</v>
      </c>
      <c r="BD554">
        <v>12</v>
      </c>
      <c r="BF554" cm="1">
        <f t="array" ref="BF554">CORREL(J554:J1554,S554:S1554)</f>
        <v>-0.032149904073561</v>
      </c>
      <c r="BH554">
        <v>6</v>
      </c>
      <c r="BI554">
        <f t="shared" si="28"/>
        <v>2</v>
      </c>
      <c r="BJ554">
        <f t="shared" si="29"/>
        <v>3</v>
      </c>
    </row>
    <row r="555" spans="1:62">
      <c r="A555" s="1">
        <v>498919711</v>
      </c>
      <c r="B555">
        <v>22</v>
      </c>
      <c r="C555" t="s">
        <v>73</v>
      </c>
      <c r="D555" t="s">
        <v>60</v>
      </c>
      <c r="E555" t="s">
        <v>103</v>
      </c>
      <c r="F555" t="s">
        <v>87</v>
      </c>
      <c r="G555" t="s">
        <v>60</v>
      </c>
      <c r="H555" t="s">
        <v>718</v>
      </c>
      <c r="I555" t="s">
        <v>178</v>
      </c>
      <c r="J555" s="2">
        <v>383.13</v>
      </c>
      <c r="K555">
        <v>3</v>
      </c>
      <c r="L555" t="s">
        <v>65</v>
      </c>
      <c r="M555">
        <v>4</v>
      </c>
      <c r="N555">
        <v>5</v>
      </c>
      <c r="O555">
        <v>0</v>
      </c>
      <c r="P555" t="s">
        <v>79</v>
      </c>
      <c r="Q555" t="s">
        <v>80</v>
      </c>
      <c r="R555">
        <v>2</v>
      </c>
      <c r="S555">
        <v>6</v>
      </c>
      <c r="T555" t="s">
        <v>66</v>
      </c>
      <c r="U555" t="s">
        <v>105</v>
      </c>
      <c r="V555" t="s">
        <v>110</v>
      </c>
      <c r="W555" s="3">
        <v>45560</v>
      </c>
      <c r="X555" t="b">
        <v>0</v>
      </c>
      <c r="Y555" t="b">
        <v>0</v>
      </c>
      <c r="Z555" t="s">
        <v>70</v>
      </c>
      <c r="AA555" t="s">
        <v>71</v>
      </c>
      <c r="AB555">
        <v>7</v>
      </c>
      <c r="AO555" t="str">
        <f t="shared" si="30"/>
        <v>18-25</v>
      </c>
      <c r="BD555">
        <v>3</v>
      </c>
      <c r="BF555" cm="1">
        <f t="array" ref="BF555">CORREL(J555:J1555,S555:S1555)</f>
        <v>-0.0322615824455312</v>
      </c>
      <c r="BH555">
        <v>6</v>
      </c>
      <c r="BI555">
        <f t="shared" si="28"/>
        <v>0.5</v>
      </c>
      <c r="BJ555">
        <f t="shared" si="29"/>
        <v>12</v>
      </c>
    </row>
    <row r="556" spans="1:62">
      <c r="A556" s="4" t="s">
        <v>725</v>
      </c>
      <c r="B556">
        <v>25</v>
      </c>
      <c r="C556" t="s">
        <v>73</v>
      </c>
      <c r="D556" t="s">
        <v>74</v>
      </c>
      <c r="E556" t="s">
        <v>86</v>
      </c>
      <c r="F556" t="s">
        <v>75</v>
      </c>
      <c r="G556" t="s">
        <v>60</v>
      </c>
      <c r="H556" t="s">
        <v>726</v>
      </c>
      <c r="I556" t="s">
        <v>147</v>
      </c>
      <c r="J556" s="2">
        <v>434.86</v>
      </c>
      <c r="K556">
        <v>11</v>
      </c>
      <c r="L556" t="s">
        <v>78</v>
      </c>
      <c r="M556">
        <v>2</v>
      </c>
      <c r="N556">
        <v>5</v>
      </c>
      <c r="O556">
        <v>2</v>
      </c>
      <c r="P556" t="s">
        <v>74</v>
      </c>
      <c r="Q556" t="s">
        <v>67</v>
      </c>
      <c r="R556">
        <v>0</v>
      </c>
      <c r="S556">
        <v>4</v>
      </c>
      <c r="T556" t="s">
        <v>79</v>
      </c>
      <c r="U556" t="s">
        <v>90</v>
      </c>
      <c r="V556" t="s">
        <v>96</v>
      </c>
      <c r="W556" s="3">
        <v>45467</v>
      </c>
      <c r="X556" t="b">
        <v>1</v>
      </c>
      <c r="Y556" t="b">
        <v>0</v>
      </c>
      <c r="Z556" t="s">
        <v>92</v>
      </c>
      <c r="AA556" t="s">
        <v>97</v>
      </c>
      <c r="AB556">
        <v>11</v>
      </c>
      <c r="AO556" t="str">
        <f t="shared" si="30"/>
        <v>18-25</v>
      </c>
      <c r="BD556">
        <v>11</v>
      </c>
      <c r="BF556" cm="1">
        <f t="array" ref="BF556">CORREL(J556:J1556,S556:S1556)</f>
        <v>-0.0326340373415106</v>
      </c>
      <c r="BH556">
        <v>4</v>
      </c>
      <c r="BI556">
        <f t="shared" si="28"/>
        <v>2.75</v>
      </c>
      <c r="BJ556">
        <f t="shared" si="29"/>
        <v>1.45454545454545</v>
      </c>
    </row>
    <row r="557" spans="1:62">
      <c r="A557" s="1">
        <v>947462001</v>
      </c>
      <c r="B557">
        <v>30</v>
      </c>
      <c r="C557" t="s">
        <v>59</v>
      </c>
      <c r="D557" t="s">
        <v>60</v>
      </c>
      <c r="E557" t="s">
        <v>61</v>
      </c>
      <c r="F557" t="s">
        <v>62</v>
      </c>
      <c r="G557" t="s">
        <v>60</v>
      </c>
      <c r="H557" t="s">
        <v>727</v>
      </c>
      <c r="I557" t="s">
        <v>89</v>
      </c>
      <c r="J557" s="2">
        <v>489.1</v>
      </c>
      <c r="K557">
        <v>9</v>
      </c>
      <c r="L557" t="s">
        <v>65</v>
      </c>
      <c r="M557">
        <v>3</v>
      </c>
      <c r="N557">
        <v>4</v>
      </c>
      <c r="O557">
        <v>1</v>
      </c>
      <c r="P557" t="s">
        <v>84</v>
      </c>
      <c r="Q557" t="s">
        <v>67</v>
      </c>
      <c r="R557">
        <v>2</v>
      </c>
      <c r="S557">
        <v>4</v>
      </c>
      <c r="T557" t="s">
        <v>79</v>
      </c>
      <c r="U557" t="s">
        <v>90</v>
      </c>
      <c r="V557" t="s">
        <v>69</v>
      </c>
      <c r="W557" s="3">
        <v>45614</v>
      </c>
      <c r="X557" t="b">
        <v>1</v>
      </c>
      <c r="Y557" t="b">
        <v>0</v>
      </c>
      <c r="Z557" t="s">
        <v>70</v>
      </c>
      <c r="AA557" t="s">
        <v>83</v>
      </c>
      <c r="AB557">
        <v>13</v>
      </c>
      <c r="AO557" t="str">
        <f t="shared" si="30"/>
        <v>26-40</v>
      </c>
      <c r="BD557">
        <v>9</v>
      </c>
      <c r="BF557" cm="1">
        <f t="array" ref="BF557">CORREL(J557:J1557,S557:S1557)</f>
        <v>-0.0312844867870673</v>
      </c>
      <c r="BH557">
        <v>4</v>
      </c>
      <c r="BI557">
        <f t="shared" si="28"/>
        <v>2.25</v>
      </c>
      <c r="BJ557">
        <f t="shared" si="29"/>
        <v>1.77777777777778</v>
      </c>
    </row>
    <row r="558" spans="1:62">
      <c r="A558" s="1">
        <v>389435744</v>
      </c>
      <c r="B558">
        <v>19</v>
      </c>
      <c r="C558" t="s">
        <v>188</v>
      </c>
      <c r="D558" t="s">
        <v>74</v>
      </c>
      <c r="E558" t="s">
        <v>61</v>
      </c>
      <c r="F558" t="s">
        <v>62</v>
      </c>
      <c r="G558" t="s">
        <v>74</v>
      </c>
      <c r="H558" t="s">
        <v>728</v>
      </c>
      <c r="I558" t="s">
        <v>209</v>
      </c>
      <c r="J558" s="2">
        <v>288.15</v>
      </c>
      <c r="K558">
        <v>3</v>
      </c>
      <c r="L558" t="s">
        <v>85</v>
      </c>
      <c r="M558">
        <v>1</v>
      </c>
      <c r="N558">
        <v>4</v>
      </c>
      <c r="O558">
        <v>1</v>
      </c>
      <c r="P558" t="s">
        <v>74</v>
      </c>
      <c r="Q558" t="s">
        <v>67</v>
      </c>
      <c r="R558">
        <v>1</v>
      </c>
      <c r="S558">
        <v>4</v>
      </c>
      <c r="T558" t="s">
        <v>79</v>
      </c>
      <c r="U558" t="s">
        <v>68</v>
      </c>
      <c r="V558" t="s">
        <v>110</v>
      </c>
      <c r="W558" s="3">
        <v>45510</v>
      </c>
      <c r="X558" t="b">
        <v>1</v>
      </c>
      <c r="Y558" t="b">
        <v>0</v>
      </c>
      <c r="Z558" t="s">
        <v>92</v>
      </c>
      <c r="AA558" t="s">
        <v>83</v>
      </c>
      <c r="AB558">
        <v>13</v>
      </c>
      <c r="AO558" t="str">
        <f t="shared" si="30"/>
        <v>18-25</v>
      </c>
      <c r="BD558">
        <v>3</v>
      </c>
      <c r="BF558" cm="1">
        <f t="array" ref="BF558">CORREL(J558:J1558,S558:S1558)</f>
        <v>-0.0294755528035346</v>
      </c>
      <c r="BH558">
        <v>4</v>
      </c>
      <c r="BI558">
        <f t="shared" si="28"/>
        <v>0.75</v>
      </c>
      <c r="BJ558">
        <f t="shared" si="29"/>
        <v>5.33333333333333</v>
      </c>
    </row>
    <row r="559" spans="1:62">
      <c r="A559" s="1">
        <v>985358497</v>
      </c>
      <c r="B559">
        <v>35</v>
      </c>
      <c r="C559" t="s">
        <v>73</v>
      </c>
      <c r="D559" t="s">
        <v>74</v>
      </c>
      <c r="E559" t="s">
        <v>103</v>
      </c>
      <c r="F559" t="s">
        <v>87</v>
      </c>
      <c r="G559" t="s">
        <v>60</v>
      </c>
      <c r="H559" t="s">
        <v>729</v>
      </c>
      <c r="I559" t="s">
        <v>171</v>
      </c>
      <c r="J559" s="2">
        <v>105.87</v>
      </c>
      <c r="K559">
        <v>12</v>
      </c>
      <c r="L559" t="s">
        <v>65</v>
      </c>
      <c r="M559">
        <v>3</v>
      </c>
      <c r="N559">
        <v>2</v>
      </c>
      <c r="O559">
        <v>1</v>
      </c>
      <c r="P559" t="s">
        <v>84</v>
      </c>
      <c r="Q559" t="s">
        <v>80</v>
      </c>
      <c r="R559">
        <v>1</v>
      </c>
      <c r="S559">
        <v>1</v>
      </c>
      <c r="T559" t="s">
        <v>79</v>
      </c>
      <c r="U559" t="s">
        <v>68</v>
      </c>
      <c r="V559" t="s">
        <v>110</v>
      </c>
      <c r="W559" s="3">
        <v>45550</v>
      </c>
      <c r="X559" t="b">
        <v>0</v>
      </c>
      <c r="Y559" t="b">
        <v>0</v>
      </c>
      <c r="Z559" t="s">
        <v>102</v>
      </c>
      <c r="AA559" t="s">
        <v>97</v>
      </c>
      <c r="AB559">
        <v>4</v>
      </c>
      <c r="AO559" t="str">
        <f t="shared" si="30"/>
        <v>26-40</v>
      </c>
      <c r="BD559">
        <v>12</v>
      </c>
      <c r="BF559" cm="1">
        <f t="array" ref="BF559">CORREL(J559:J1559,S559:S1559)</f>
        <v>-0.0293755080342553</v>
      </c>
      <c r="BH559">
        <v>1</v>
      </c>
      <c r="BI559">
        <f t="shared" si="28"/>
        <v>12</v>
      </c>
      <c r="BJ559">
        <f t="shared" si="29"/>
        <v>0.0833333333333333</v>
      </c>
    </row>
    <row r="560" spans="1:62">
      <c r="A560" s="1">
        <v>332438793</v>
      </c>
      <c r="B560">
        <v>45</v>
      </c>
      <c r="C560" t="s">
        <v>73</v>
      </c>
      <c r="D560" t="s">
        <v>60</v>
      </c>
      <c r="E560" t="s">
        <v>98</v>
      </c>
      <c r="F560" t="s">
        <v>75</v>
      </c>
      <c r="G560" t="s">
        <v>74</v>
      </c>
      <c r="H560" t="s">
        <v>730</v>
      </c>
      <c r="I560" t="s">
        <v>118</v>
      </c>
      <c r="J560" s="2">
        <v>163.4</v>
      </c>
      <c r="K560">
        <v>3</v>
      </c>
      <c r="L560" t="s">
        <v>78</v>
      </c>
      <c r="M560">
        <v>3</v>
      </c>
      <c r="N560">
        <v>5</v>
      </c>
      <c r="O560">
        <v>1</v>
      </c>
      <c r="P560" t="s">
        <v>74</v>
      </c>
      <c r="Q560" t="s">
        <v>67</v>
      </c>
      <c r="R560">
        <v>2</v>
      </c>
      <c r="S560">
        <v>10</v>
      </c>
      <c r="T560" t="s">
        <v>74</v>
      </c>
      <c r="U560" t="s">
        <v>105</v>
      </c>
      <c r="V560" t="s">
        <v>110</v>
      </c>
      <c r="W560" s="3">
        <v>45481</v>
      </c>
      <c r="X560" t="b">
        <v>1</v>
      </c>
      <c r="Y560" t="b">
        <v>0</v>
      </c>
      <c r="Z560" t="s">
        <v>102</v>
      </c>
      <c r="AA560" t="s">
        <v>83</v>
      </c>
      <c r="AB560">
        <v>7</v>
      </c>
      <c r="AO560" t="str">
        <f t="shared" si="30"/>
        <v>41-60</v>
      </c>
      <c r="BD560">
        <v>3</v>
      </c>
      <c r="BF560" cm="1">
        <f t="array" ref="BF560">CORREL(J560:J1560,S560:S1560)</f>
        <v>-0.0342072438928218</v>
      </c>
      <c r="BH560">
        <v>10</v>
      </c>
      <c r="BI560">
        <f t="shared" si="28"/>
        <v>0.3</v>
      </c>
      <c r="BJ560">
        <f t="shared" si="29"/>
        <v>33.3333333333333</v>
      </c>
    </row>
    <row r="561" spans="1:62">
      <c r="A561" s="1">
        <v>995815577</v>
      </c>
      <c r="B561">
        <v>20</v>
      </c>
      <c r="C561" t="s">
        <v>73</v>
      </c>
      <c r="D561" t="s">
        <v>74</v>
      </c>
      <c r="E561" t="s">
        <v>86</v>
      </c>
      <c r="F561" t="s">
        <v>75</v>
      </c>
      <c r="G561" t="s">
        <v>74</v>
      </c>
      <c r="H561" t="s">
        <v>731</v>
      </c>
      <c r="I561" t="s">
        <v>64</v>
      </c>
      <c r="J561" s="2">
        <v>422.92</v>
      </c>
      <c r="K561">
        <v>6</v>
      </c>
      <c r="L561" t="s">
        <v>65</v>
      </c>
      <c r="M561">
        <v>4</v>
      </c>
      <c r="N561">
        <v>1</v>
      </c>
      <c r="O561">
        <v>2</v>
      </c>
      <c r="P561" t="s">
        <v>66</v>
      </c>
      <c r="Q561" t="s">
        <v>67</v>
      </c>
      <c r="R561">
        <v>0</v>
      </c>
      <c r="S561">
        <v>6</v>
      </c>
      <c r="T561" t="s">
        <v>84</v>
      </c>
      <c r="U561" t="s">
        <v>105</v>
      </c>
      <c r="V561" t="s">
        <v>91</v>
      </c>
      <c r="W561" s="3">
        <v>45582</v>
      </c>
      <c r="X561" t="b">
        <v>0</v>
      </c>
      <c r="Y561" t="b">
        <v>1</v>
      </c>
      <c r="Z561" t="s">
        <v>102</v>
      </c>
      <c r="AA561" t="s">
        <v>71</v>
      </c>
      <c r="AB561">
        <v>6</v>
      </c>
      <c r="AO561" t="str">
        <f t="shared" si="30"/>
        <v>18-25</v>
      </c>
      <c r="BD561">
        <v>6</v>
      </c>
      <c r="BF561" cm="1">
        <f t="array" ref="BF561">CORREL(J561:J1561,S561:S1561)</f>
        <v>-0.0311779740355135</v>
      </c>
      <c r="BH561">
        <v>6</v>
      </c>
      <c r="BI561">
        <f t="shared" si="28"/>
        <v>1</v>
      </c>
      <c r="BJ561">
        <f t="shared" si="29"/>
        <v>6</v>
      </c>
    </row>
    <row r="562" spans="1:62">
      <c r="A562" s="1">
        <v>641802404</v>
      </c>
      <c r="B562">
        <v>48</v>
      </c>
      <c r="C562" t="s">
        <v>73</v>
      </c>
      <c r="D562" t="s">
        <v>60</v>
      </c>
      <c r="E562" t="s">
        <v>103</v>
      </c>
      <c r="F562" t="s">
        <v>75</v>
      </c>
      <c r="G562" t="s">
        <v>74</v>
      </c>
      <c r="H562" t="s">
        <v>732</v>
      </c>
      <c r="I562" t="s">
        <v>64</v>
      </c>
      <c r="J562" s="2">
        <v>361.48</v>
      </c>
      <c r="K562">
        <v>10</v>
      </c>
      <c r="L562" t="s">
        <v>85</v>
      </c>
      <c r="M562">
        <v>1</v>
      </c>
      <c r="N562">
        <v>4</v>
      </c>
      <c r="O562">
        <v>1</v>
      </c>
      <c r="P562" t="s">
        <v>79</v>
      </c>
      <c r="Q562" t="s">
        <v>67</v>
      </c>
      <c r="R562">
        <v>2</v>
      </c>
      <c r="S562">
        <v>9</v>
      </c>
      <c r="T562" t="s">
        <v>74</v>
      </c>
      <c r="U562" t="s">
        <v>68</v>
      </c>
      <c r="V562" t="s">
        <v>110</v>
      </c>
      <c r="W562" s="3">
        <v>45459</v>
      </c>
      <c r="X562" t="b">
        <v>1</v>
      </c>
      <c r="Y562" t="b">
        <v>1</v>
      </c>
      <c r="Z562" t="s">
        <v>82</v>
      </c>
      <c r="AA562" t="s">
        <v>97</v>
      </c>
      <c r="AB562">
        <v>13</v>
      </c>
      <c r="AO562" t="str">
        <f t="shared" si="30"/>
        <v>41-60</v>
      </c>
      <c r="BD562">
        <v>10</v>
      </c>
      <c r="BF562" cm="1">
        <f t="array" ref="BF562">CORREL(J562:J1562,S562:S1562)</f>
        <v>-0.0317025555749097</v>
      </c>
      <c r="BH562">
        <v>9</v>
      </c>
      <c r="BI562">
        <f t="shared" si="28"/>
        <v>1.11111111111111</v>
      </c>
      <c r="BJ562">
        <f t="shared" si="29"/>
        <v>8.1</v>
      </c>
    </row>
    <row r="563" spans="1:62">
      <c r="A563" s="1">
        <v>730970986</v>
      </c>
      <c r="B563">
        <v>23</v>
      </c>
      <c r="C563" t="s">
        <v>73</v>
      </c>
      <c r="D563" t="s">
        <v>60</v>
      </c>
      <c r="E563" t="s">
        <v>86</v>
      </c>
      <c r="F563" t="s">
        <v>87</v>
      </c>
      <c r="G563" t="s">
        <v>74</v>
      </c>
      <c r="H563" t="s">
        <v>733</v>
      </c>
      <c r="I563" t="s">
        <v>124</v>
      </c>
      <c r="J563" s="2">
        <v>270.82</v>
      </c>
      <c r="K563">
        <v>2</v>
      </c>
      <c r="L563" t="s">
        <v>78</v>
      </c>
      <c r="M563">
        <v>4</v>
      </c>
      <c r="N563">
        <v>2</v>
      </c>
      <c r="O563">
        <v>0</v>
      </c>
      <c r="P563" t="s">
        <v>66</v>
      </c>
      <c r="Q563" t="s">
        <v>67</v>
      </c>
      <c r="R563">
        <v>1</v>
      </c>
      <c r="S563">
        <v>8</v>
      </c>
      <c r="T563" t="s">
        <v>84</v>
      </c>
      <c r="U563" t="s">
        <v>68</v>
      </c>
      <c r="V563" t="s">
        <v>96</v>
      </c>
      <c r="W563" s="3">
        <v>45595</v>
      </c>
      <c r="X563" t="b">
        <v>1</v>
      </c>
      <c r="Y563" t="b">
        <v>0</v>
      </c>
      <c r="Z563" t="s">
        <v>82</v>
      </c>
      <c r="AA563" t="s">
        <v>83</v>
      </c>
      <c r="AB563">
        <v>13</v>
      </c>
      <c r="AO563" t="str">
        <f t="shared" si="30"/>
        <v>18-25</v>
      </c>
      <c r="BD563">
        <v>2</v>
      </c>
      <c r="BF563" cm="1">
        <f t="array" ref="BF563">CORREL(J563:J1563,S563:S1563)</f>
        <v>-0.0336436880830305</v>
      </c>
      <c r="BH563">
        <v>8</v>
      </c>
      <c r="BI563">
        <f t="shared" si="28"/>
        <v>0.25</v>
      </c>
      <c r="BJ563">
        <f t="shared" si="29"/>
        <v>32</v>
      </c>
    </row>
    <row r="564" spans="1:62">
      <c r="A564" s="1">
        <v>880510567</v>
      </c>
      <c r="B564">
        <v>49</v>
      </c>
      <c r="C564" t="s">
        <v>59</v>
      </c>
      <c r="D564" t="s">
        <v>74</v>
      </c>
      <c r="E564" t="s">
        <v>98</v>
      </c>
      <c r="F564" t="s">
        <v>75</v>
      </c>
      <c r="G564" t="s">
        <v>74</v>
      </c>
      <c r="H564" t="s">
        <v>734</v>
      </c>
      <c r="I564" t="s">
        <v>137</v>
      </c>
      <c r="J564" s="2">
        <v>372.26</v>
      </c>
      <c r="K564">
        <v>11</v>
      </c>
      <c r="L564" t="s">
        <v>78</v>
      </c>
      <c r="M564">
        <v>1</v>
      </c>
      <c r="N564">
        <v>5</v>
      </c>
      <c r="O564">
        <v>2</v>
      </c>
      <c r="P564" t="s">
        <v>66</v>
      </c>
      <c r="Q564" t="s">
        <v>109</v>
      </c>
      <c r="R564">
        <v>1</v>
      </c>
      <c r="S564">
        <v>8</v>
      </c>
      <c r="T564" t="s">
        <v>74</v>
      </c>
      <c r="U564" t="s">
        <v>90</v>
      </c>
      <c r="V564" t="s">
        <v>81</v>
      </c>
      <c r="W564" s="3">
        <v>45517</v>
      </c>
      <c r="X564" t="b">
        <v>0</v>
      </c>
      <c r="Y564" t="b">
        <v>1</v>
      </c>
      <c r="Z564" t="s">
        <v>82</v>
      </c>
      <c r="AA564" t="s">
        <v>97</v>
      </c>
      <c r="AB564">
        <v>6</v>
      </c>
      <c r="AO564" t="str">
        <f t="shared" si="30"/>
        <v>41-60</v>
      </c>
      <c r="BD564">
        <v>11</v>
      </c>
      <c r="BF564" cm="1">
        <f t="array" ref="BF564">CORREL(J564:J1564,S564:S1564)</f>
        <v>-0.0335921458198207</v>
      </c>
      <c r="BH564">
        <v>8</v>
      </c>
      <c r="BI564">
        <f t="shared" si="28"/>
        <v>1.375</v>
      </c>
      <c r="BJ564">
        <f t="shared" si="29"/>
        <v>5.81818181818182</v>
      </c>
    </row>
    <row r="565" spans="1:62">
      <c r="A565" s="1">
        <v>447159594</v>
      </c>
      <c r="B565">
        <v>23</v>
      </c>
      <c r="C565" t="s">
        <v>59</v>
      </c>
      <c r="D565" t="s">
        <v>60</v>
      </c>
      <c r="E565" t="s">
        <v>98</v>
      </c>
      <c r="F565" t="s">
        <v>62</v>
      </c>
      <c r="G565" t="s">
        <v>74</v>
      </c>
      <c r="H565" t="s">
        <v>735</v>
      </c>
      <c r="I565" t="s">
        <v>131</v>
      </c>
      <c r="J565" s="2">
        <v>208.59</v>
      </c>
      <c r="K565">
        <v>3</v>
      </c>
      <c r="L565" t="s">
        <v>65</v>
      </c>
      <c r="M565">
        <v>1</v>
      </c>
      <c r="N565">
        <v>1</v>
      </c>
      <c r="O565">
        <v>2</v>
      </c>
      <c r="P565" t="s">
        <v>79</v>
      </c>
      <c r="Q565" t="s">
        <v>67</v>
      </c>
      <c r="R565">
        <v>0</v>
      </c>
      <c r="S565">
        <v>4</v>
      </c>
      <c r="T565" t="s">
        <v>66</v>
      </c>
      <c r="U565" t="s">
        <v>105</v>
      </c>
      <c r="V565" t="s">
        <v>81</v>
      </c>
      <c r="W565" s="3">
        <v>45538</v>
      </c>
      <c r="X565" t="b">
        <v>1</v>
      </c>
      <c r="Y565" t="b">
        <v>0</v>
      </c>
      <c r="Z565" t="s">
        <v>92</v>
      </c>
      <c r="AA565" t="s">
        <v>97</v>
      </c>
      <c r="AB565">
        <v>1</v>
      </c>
      <c r="AO565" t="str">
        <f t="shared" si="30"/>
        <v>18-25</v>
      </c>
      <c r="BD565">
        <v>3</v>
      </c>
      <c r="BF565" cm="1">
        <f t="array" ref="BF565">CORREL(J565:J1565,S565:S1565)</f>
        <v>-0.0351679234771559</v>
      </c>
      <c r="BH565">
        <v>4</v>
      </c>
      <c r="BI565">
        <f t="shared" si="28"/>
        <v>0.75</v>
      </c>
      <c r="BJ565">
        <f t="shared" si="29"/>
        <v>5.33333333333333</v>
      </c>
    </row>
    <row r="566" spans="1:62">
      <c r="A566" s="1">
        <v>841886577</v>
      </c>
      <c r="B566">
        <v>39</v>
      </c>
      <c r="C566" t="s">
        <v>73</v>
      </c>
      <c r="D566" t="s">
        <v>60</v>
      </c>
      <c r="E566" t="s">
        <v>98</v>
      </c>
      <c r="F566" t="s">
        <v>75</v>
      </c>
      <c r="G566" t="s">
        <v>74</v>
      </c>
      <c r="H566" t="s">
        <v>736</v>
      </c>
      <c r="I566" t="s">
        <v>64</v>
      </c>
      <c r="J566" s="2">
        <v>163.22</v>
      </c>
      <c r="K566">
        <v>8</v>
      </c>
      <c r="L566" t="s">
        <v>85</v>
      </c>
      <c r="M566">
        <v>5</v>
      </c>
      <c r="N566">
        <v>3</v>
      </c>
      <c r="O566">
        <v>0</v>
      </c>
      <c r="P566" t="s">
        <v>74</v>
      </c>
      <c r="Q566" t="s">
        <v>67</v>
      </c>
      <c r="R566">
        <v>1</v>
      </c>
      <c r="S566">
        <v>3</v>
      </c>
      <c r="T566" t="s">
        <v>66</v>
      </c>
      <c r="U566" t="s">
        <v>90</v>
      </c>
      <c r="V566" t="s">
        <v>81</v>
      </c>
      <c r="W566" s="3">
        <v>45474</v>
      </c>
      <c r="X566" t="b">
        <v>0</v>
      </c>
      <c r="Y566" t="b">
        <v>1</v>
      </c>
      <c r="Z566" t="s">
        <v>82</v>
      </c>
      <c r="AA566" t="s">
        <v>71</v>
      </c>
      <c r="AB566">
        <v>8</v>
      </c>
      <c r="AO566" t="str">
        <f t="shared" si="30"/>
        <v>26-40</v>
      </c>
      <c r="BD566">
        <v>8</v>
      </c>
      <c r="BF566" cm="1">
        <f t="array" ref="BF566">CORREL(J566:J1566,S566:S1566)</f>
        <v>-0.0357978610189369</v>
      </c>
      <c r="BH566">
        <v>3</v>
      </c>
      <c r="BI566">
        <f t="shared" si="28"/>
        <v>2.66666666666667</v>
      </c>
      <c r="BJ566">
        <f t="shared" si="29"/>
        <v>1.125</v>
      </c>
    </row>
    <row r="567" spans="1:62">
      <c r="A567" s="1">
        <v>191164723</v>
      </c>
      <c r="B567">
        <v>45</v>
      </c>
      <c r="C567" t="s">
        <v>73</v>
      </c>
      <c r="D567" t="s">
        <v>74</v>
      </c>
      <c r="E567" t="s">
        <v>61</v>
      </c>
      <c r="F567" t="s">
        <v>75</v>
      </c>
      <c r="G567" t="s">
        <v>74</v>
      </c>
      <c r="H567" t="s">
        <v>737</v>
      </c>
      <c r="I567" t="s">
        <v>120</v>
      </c>
      <c r="J567" s="2">
        <v>364.98</v>
      </c>
      <c r="K567">
        <v>7</v>
      </c>
      <c r="L567" t="s">
        <v>78</v>
      </c>
      <c r="M567">
        <v>4</v>
      </c>
      <c r="N567">
        <v>1</v>
      </c>
      <c r="O567">
        <v>0</v>
      </c>
      <c r="P567" t="s">
        <v>84</v>
      </c>
      <c r="Q567" t="s">
        <v>109</v>
      </c>
      <c r="R567">
        <v>0</v>
      </c>
      <c r="S567">
        <v>1</v>
      </c>
      <c r="T567" t="s">
        <v>66</v>
      </c>
      <c r="U567" t="s">
        <v>105</v>
      </c>
      <c r="V567" t="s">
        <v>110</v>
      </c>
      <c r="W567" s="3">
        <v>45423</v>
      </c>
      <c r="X567" t="b">
        <v>1</v>
      </c>
      <c r="Y567" t="b">
        <v>0</v>
      </c>
      <c r="Z567" t="s">
        <v>82</v>
      </c>
      <c r="AA567" t="s">
        <v>83</v>
      </c>
      <c r="AB567">
        <v>8</v>
      </c>
      <c r="AO567" t="str">
        <f t="shared" si="30"/>
        <v>41-60</v>
      </c>
      <c r="BD567">
        <v>7</v>
      </c>
      <c r="BF567" cm="1">
        <f t="array" ref="BF567">CORREL(J567:J1567,S567:S1567)</f>
        <v>-0.0375884968500452</v>
      </c>
      <c r="BH567">
        <v>1</v>
      </c>
      <c r="BI567">
        <f t="shared" si="28"/>
        <v>7</v>
      </c>
      <c r="BJ567">
        <f t="shared" si="29"/>
        <v>0.142857142857143</v>
      </c>
    </row>
    <row r="568" spans="1:62">
      <c r="A568" s="1">
        <v>217839242</v>
      </c>
      <c r="B568">
        <v>31</v>
      </c>
      <c r="C568" t="s">
        <v>268</v>
      </c>
      <c r="D568" t="s">
        <v>74</v>
      </c>
      <c r="E568" t="s">
        <v>103</v>
      </c>
      <c r="F568" t="s">
        <v>87</v>
      </c>
      <c r="G568" t="s">
        <v>74</v>
      </c>
      <c r="H568" t="s">
        <v>738</v>
      </c>
      <c r="I568" t="s">
        <v>156</v>
      </c>
      <c r="J568" s="2">
        <v>142.43</v>
      </c>
      <c r="K568">
        <v>3</v>
      </c>
      <c r="L568" t="s">
        <v>78</v>
      </c>
      <c r="M568">
        <v>2</v>
      </c>
      <c r="N568">
        <v>5</v>
      </c>
      <c r="O568">
        <v>2</v>
      </c>
      <c r="P568" t="s">
        <v>74</v>
      </c>
      <c r="Q568" t="s">
        <v>109</v>
      </c>
      <c r="R568">
        <v>1</v>
      </c>
      <c r="S568">
        <v>9</v>
      </c>
      <c r="T568" t="s">
        <v>66</v>
      </c>
      <c r="U568" t="s">
        <v>105</v>
      </c>
      <c r="V568" t="s">
        <v>81</v>
      </c>
      <c r="W568" s="3">
        <v>45563</v>
      </c>
      <c r="X568" t="b">
        <v>1</v>
      </c>
      <c r="Y568" t="b">
        <v>0</v>
      </c>
      <c r="Z568" t="s">
        <v>102</v>
      </c>
      <c r="AA568" t="s">
        <v>97</v>
      </c>
      <c r="AB568">
        <v>8</v>
      </c>
      <c r="AO568" t="str">
        <f t="shared" si="30"/>
        <v>26-40</v>
      </c>
      <c r="BD568">
        <v>3</v>
      </c>
      <c r="BF568" cm="1">
        <f t="array" ref="BF568">CORREL(J568:J1568,S568:S1568)</f>
        <v>-0.0352403611868685</v>
      </c>
      <c r="BH568">
        <v>9</v>
      </c>
      <c r="BI568">
        <f t="shared" si="28"/>
        <v>0.333333333333333</v>
      </c>
      <c r="BJ568">
        <f t="shared" si="29"/>
        <v>27</v>
      </c>
    </row>
    <row r="569" spans="1:62">
      <c r="A569" s="1">
        <v>955282313</v>
      </c>
      <c r="B569">
        <v>19</v>
      </c>
      <c r="C569" t="s">
        <v>59</v>
      </c>
      <c r="D569" t="s">
        <v>60</v>
      </c>
      <c r="E569" t="s">
        <v>61</v>
      </c>
      <c r="F569" t="s">
        <v>62</v>
      </c>
      <c r="G569" t="s">
        <v>74</v>
      </c>
      <c r="H569" t="s">
        <v>739</v>
      </c>
      <c r="I569" t="s">
        <v>131</v>
      </c>
      <c r="J569" s="2">
        <v>449.72</v>
      </c>
      <c r="K569">
        <v>3</v>
      </c>
      <c r="L569" t="s">
        <v>65</v>
      </c>
      <c r="M569">
        <v>3</v>
      </c>
      <c r="N569">
        <v>3</v>
      </c>
      <c r="O569">
        <v>0</v>
      </c>
      <c r="P569" t="s">
        <v>74</v>
      </c>
      <c r="Q569" t="s">
        <v>67</v>
      </c>
      <c r="R569">
        <v>1</v>
      </c>
      <c r="S569">
        <v>9</v>
      </c>
      <c r="T569" t="s">
        <v>66</v>
      </c>
      <c r="U569" t="s">
        <v>90</v>
      </c>
      <c r="V569" t="s">
        <v>96</v>
      </c>
      <c r="W569" s="3">
        <v>45340</v>
      </c>
      <c r="X569" t="b">
        <v>1</v>
      </c>
      <c r="Y569" t="b">
        <v>1</v>
      </c>
      <c r="Z569" t="s">
        <v>82</v>
      </c>
      <c r="AA569" t="s">
        <v>97</v>
      </c>
      <c r="AB569">
        <v>3</v>
      </c>
      <c r="AO569" t="str">
        <f t="shared" si="30"/>
        <v>18-25</v>
      </c>
      <c r="BD569">
        <v>3</v>
      </c>
      <c r="BF569" cm="1">
        <f t="array" ref="BF569">CORREL(J569:J1569,S569:S1569)</f>
        <v>-0.0323821687956329</v>
      </c>
      <c r="BH569">
        <v>9</v>
      </c>
      <c r="BI569">
        <f t="shared" si="28"/>
        <v>0.333333333333333</v>
      </c>
      <c r="BJ569">
        <f t="shared" si="29"/>
        <v>27</v>
      </c>
    </row>
    <row r="570" spans="1:62">
      <c r="A570" s="1">
        <v>946824886</v>
      </c>
      <c r="B570">
        <v>27</v>
      </c>
      <c r="C570" t="s">
        <v>73</v>
      </c>
      <c r="D570" t="s">
        <v>60</v>
      </c>
      <c r="E570" t="s">
        <v>86</v>
      </c>
      <c r="F570" t="s">
        <v>62</v>
      </c>
      <c r="G570" t="s">
        <v>74</v>
      </c>
      <c r="H570" t="s">
        <v>740</v>
      </c>
      <c r="I570" t="s">
        <v>64</v>
      </c>
      <c r="J570" s="2">
        <v>241.56</v>
      </c>
      <c r="K570">
        <v>12</v>
      </c>
      <c r="L570" t="s">
        <v>65</v>
      </c>
      <c r="M570">
        <v>3</v>
      </c>
      <c r="N570">
        <v>2</v>
      </c>
      <c r="O570">
        <v>0</v>
      </c>
      <c r="P570" t="s">
        <v>74</v>
      </c>
      <c r="Q570" t="s">
        <v>80</v>
      </c>
      <c r="R570">
        <v>0</v>
      </c>
      <c r="S570">
        <v>5</v>
      </c>
      <c r="T570" t="s">
        <v>74</v>
      </c>
      <c r="U570" t="s">
        <v>68</v>
      </c>
      <c r="V570" t="s">
        <v>81</v>
      </c>
      <c r="W570" s="3">
        <v>45624</v>
      </c>
      <c r="X570" t="b">
        <v>1</v>
      </c>
      <c r="Y570" t="b">
        <v>0</v>
      </c>
      <c r="Z570" t="s">
        <v>70</v>
      </c>
      <c r="AA570" t="s">
        <v>97</v>
      </c>
      <c r="AB570">
        <v>2</v>
      </c>
      <c r="AO570" t="str">
        <f t="shared" si="30"/>
        <v>26-40</v>
      </c>
      <c r="BD570">
        <v>12</v>
      </c>
      <c r="BF570" cm="1">
        <f t="array" ref="BF570">CORREL(J570:J1570,S570:S1570)</f>
        <v>-0.0363761943700429</v>
      </c>
      <c r="BH570">
        <v>5</v>
      </c>
      <c r="BI570">
        <f t="shared" si="28"/>
        <v>2.4</v>
      </c>
      <c r="BJ570">
        <f t="shared" si="29"/>
        <v>2.08333333333333</v>
      </c>
    </row>
    <row r="571" spans="1:62">
      <c r="A571" s="1">
        <v>559449669</v>
      </c>
      <c r="B571">
        <v>32</v>
      </c>
      <c r="C571" t="s">
        <v>111</v>
      </c>
      <c r="D571" t="s">
        <v>60</v>
      </c>
      <c r="E571" t="s">
        <v>103</v>
      </c>
      <c r="F571" t="s">
        <v>87</v>
      </c>
      <c r="G571" t="s">
        <v>74</v>
      </c>
      <c r="H571" t="s">
        <v>741</v>
      </c>
      <c r="I571" t="s">
        <v>171</v>
      </c>
      <c r="J571" s="2">
        <v>249.73</v>
      </c>
      <c r="K571">
        <v>5</v>
      </c>
      <c r="L571" t="s">
        <v>65</v>
      </c>
      <c r="M571">
        <v>1</v>
      </c>
      <c r="N571">
        <v>4</v>
      </c>
      <c r="O571">
        <v>2</v>
      </c>
      <c r="P571" t="s">
        <v>84</v>
      </c>
      <c r="Q571" t="s">
        <v>109</v>
      </c>
      <c r="R571">
        <v>1</v>
      </c>
      <c r="S571">
        <v>4</v>
      </c>
      <c r="T571" t="s">
        <v>84</v>
      </c>
      <c r="U571" t="s">
        <v>105</v>
      </c>
      <c r="V571" t="s">
        <v>110</v>
      </c>
      <c r="W571" s="3">
        <v>45611</v>
      </c>
      <c r="X571" t="b">
        <v>1</v>
      </c>
      <c r="Y571" t="b">
        <v>0</v>
      </c>
      <c r="Z571" t="s">
        <v>82</v>
      </c>
      <c r="AA571" t="s">
        <v>71</v>
      </c>
      <c r="AB571">
        <v>1</v>
      </c>
      <c r="AO571" t="str">
        <f t="shared" si="30"/>
        <v>26-40</v>
      </c>
      <c r="BD571">
        <v>5</v>
      </c>
      <c r="BF571" cm="1">
        <f t="array" ref="BF571">CORREL(J571:J1571,S571:S1571)</f>
        <v>-0.0364787921420163</v>
      </c>
      <c r="BH571">
        <v>4</v>
      </c>
      <c r="BI571">
        <f t="shared" si="28"/>
        <v>1.25</v>
      </c>
      <c r="BJ571">
        <f t="shared" si="29"/>
        <v>3.2</v>
      </c>
    </row>
    <row r="572" spans="1:62">
      <c r="A572" s="1">
        <v>323142958</v>
      </c>
      <c r="B572">
        <v>24</v>
      </c>
      <c r="C572" t="s">
        <v>73</v>
      </c>
      <c r="D572" t="s">
        <v>60</v>
      </c>
      <c r="E572" t="s">
        <v>61</v>
      </c>
      <c r="F572" t="s">
        <v>87</v>
      </c>
      <c r="G572" t="s">
        <v>74</v>
      </c>
      <c r="H572" t="s">
        <v>742</v>
      </c>
      <c r="I572" t="s">
        <v>95</v>
      </c>
      <c r="J572" s="2">
        <v>437.3</v>
      </c>
      <c r="K572">
        <v>7</v>
      </c>
      <c r="L572" t="s">
        <v>65</v>
      </c>
      <c r="M572">
        <v>2</v>
      </c>
      <c r="N572">
        <v>4</v>
      </c>
      <c r="O572">
        <v>0</v>
      </c>
      <c r="P572" t="s">
        <v>74</v>
      </c>
      <c r="Q572" t="s">
        <v>67</v>
      </c>
      <c r="R572">
        <v>0</v>
      </c>
      <c r="S572">
        <v>7</v>
      </c>
      <c r="T572" t="s">
        <v>66</v>
      </c>
      <c r="U572" t="s">
        <v>68</v>
      </c>
      <c r="V572" t="s">
        <v>110</v>
      </c>
      <c r="W572" s="3">
        <v>45497</v>
      </c>
      <c r="X572" t="b">
        <v>1</v>
      </c>
      <c r="Y572" t="b">
        <v>1</v>
      </c>
      <c r="Z572" t="s">
        <v>92</v>
      </c>
      <c r="AA572" t="s">
        <v>71</v>
      </c>
      <c r="AB572">
        <v>1</v>
      </c>
      <c r="AO572" t="str">
        <f t="shared" si="30"/>
        <v>18-25</v>
      </c>
      <c r="BD572">
        <v>7</v>
      </c>
      <c r="BF572" cm="1">
        <f t="array" ref="BF572">CORREL(J572:J1572,S572:S1572)</f>
        <v>-0.0367339318026938</v>
      </c>
      <c r="BH572">
        <v>7</v>
      </c>
      <c r="BI572">
        <f t="shared" si="28"/>
        <v>1</v>
      </c>
      <c r="BJ572">
        <f t="shared" si="29"/>
        <v>7</v>
      </c>
    </row>
    <row r="573" spans="1:62">
      <c r="A573" s="1">
        <v>676972331</v>
      </c>
      <c r="B573">
        <v>22</v>
      </c>
      <c r="C573" t="s">
        <v>73</v>
      </c>
      <c r="D573" t="s">
        <v>60</v>
      </c>
      <c r="E573" t="s">
        <v>61</v>
      </c>
      <c r="F573" t="s">
        <v>87</v>
      </c>
      <c r="G573" t="s">
        <v>74</v>
      </c>
      <c r="H573" t="s">
        <v>743</v>
      </c>
      <c r="I573" t="s">
        <v>156</v>
      </c>
      <c r="J573" s="2">
        <v>277.29</v>
      </c>
      <c r="K573">
        <v>4</v>
      </c>
      <c r="L573" t="s">
        <v>65</v>
      </c>
      <c r="M573">
        <v>1</v>
      </c>
      <c r="N573">
        <v>4</v>
      </c>
      <c r="O573">
        <v>1</v>
      </c>
      <c r="P573" t="s">
        <v>66</v>
      </c>
      <c r="Q573" t="s">
        <v>67</v>
      </c>
      <c r="R573">
        <v>2</v>
      </c>
      <c r="S573">
        <v>8</v>
      </c>
      <c r="T573" t="s">
        <v>84</v>
      </c>
      <c r="U573" t="s">
        <v>90</v>
      </c>
      <c r="V573" t="s">
        <v>69</v>
      </c>
      <c r="W573" s="3">
        <v>45318</v>
      </c>
      <c r="X573" t="b">
        <v>1</v>
      </c>
      <c r="Y573" t="b">
        <v>1</v>
      </c>
      <c r="Z573" t="s">
        <v>82</v>
      </c>
      <c r="AA573" t="s">
        <v>71</v>
      </c>
      <c r="AB573">
        <v>4</v>
      </c>
      <c r="AO573" t="str">
        <f t="shared" si="30"/>
        <v>18-25</v>
      </c>
      <c r="BD573">
        <v>4</v>
      </c>
      <c r="BF573" cm="1">
        <f t="array" ref="BF573">CORREL(J573:J1573,S573:S1573)</f>
        <v>-0.0383827032452686</v>
      </c>
      <c r="BH573">
        <v>8</v>
      </c>
      <c r="BI573">
        <f t="shared" si="28"/>
        <v>0.5</v>
      </c>
      <c r="BJ573">
        <f t="shared" si="29"/>
        <v>16</v>
      </c>
    </row>
    <row r="574" spans="1:62">
      <c r="A574" s="1">
        <v>288551639</v>
      </c>
      <c r="B574">
        <v>46</v>
      </c>
      <c r="C574" t="s">
        <v>73</v>
      </c>
      <c r="D574" t="s">
        <v>74</v>
      </c>
      <c r="E574" t="s">
        <v>86</v>
      </c>
      <c r="F574" t="s">
        <v>75</v>
      </c>
      <c r="G574" t="s">
        <v>60</v>
      </c>
      <c r="H574" t="s">
        <v>744</v>
      </c>
      <c r="I574" t="s">
        <v>131</v>
      </c>
      <c r="J574" s="2">
        <v>445.93</v>
      </c>
      <c r="K574">
        <v>6</v>
      </c>
      <c r="L574" t="s">
        <v>85</v>
      </c>
      <c r="M574">
        <v>5</v>
      </c>
      <c r="N574">
        <v>5</v>
      </c>
      <c r="O574">
        <v>2</v>
      </c>
      <c r="P574" t="s">
        <v>74</v>
      </c>
      <c r="Q574" t="s">
        <v>67</v>
      </c>
      <c r="R574">
        <v>2</v>
      </c>
      <c r="S574">
        <v>4</v>
      </c>
      <c r="T574" t="s">
        <v>74</v>
      </c>
      <c r="U574" t="s">
        <v>90</v>
      </c>
      <c r="V574" t="s">
        <v>91</v>
      </c>
      <c r="W574" s="3">
        <v>45427</v>
      </c>
      <c r="X574" t="b">
        <v>0</v>
      </c>
      <c r="Y574" t="b">
        <v>1</v>
      </c>
      <c r="Z574" t="s">
        <v>70</v>
      </c>
      <c r="AA574" t="s">
        <v>71</v>
      </c>
      <c r="AB574">
        <v>13</v>
      </c>
      <c r="AO574" t="str">
        <f t="shared" si="30"/>
        <v>41-60</v>
      </c>
      <c r="BD574">
        <v>6</v>
      </c>
      <c r="BF574" cm="1">
        <f t="array" ref="BF574">CORREL(J574:J1574,S574:S1574)</f>
        <v>-0.0384443062884326</v>
      </c>
      <c r="BH574">
        <v>4</v>
      </c>
      <c r="BI574">
        <f t="shared" si="28"/>
        <v>1.5</v>
      </c>
      <c r="BJ574">
        <f t="shared" si="29"/>
        <v>2.66666666666667</v>
      </c>
    </row>
    <row r="575" spans="1:62">
      <c r="A575" s="1">
        <v>380698615</v>
      </c>
      <c r="B575">
        <v>37</v>
      </c>
      <c r="C575" t="s">
        <v>59</v>
      </c>
      <c r="D575" t="s">
        <v>60</v>
      </c>
      <c r="E575" t="s">
        <v>61</v>
      </c>
      <c r="F575" t="s">
        <v>62</v>
      </c>
      <c r="G575" t="s">
        <v>60</v>
      </c>
      <c r="H575" t="s">
        <v>745</v>
      </c>
      <c r="I575" t="s">
        <v>133</v>
      </c>
      <c r="J575" s="2">
        <v>242.79</v>
      </c>
      <c r="K575">
        <v>6</v>
      </c>
      <c r="L575" t="s">
        <v>65</v>
      </c>
      <c r="M575">
        <v>2</v>
      </c>
      <c r="N575">
        <v>4</v>
      </c>
      <c r="O575">
        <v>0</v>
      </c>
      <c r="P575" t="s">
        <v>74</v>
      </c>
      <c r="Q575" t="s">
        <v>67</v>
      </c>
      <c r="R575">
        <v>1</v>
      </c>
      <c r="S575">
        <v>7</v>
      </c>
      <c r="T575" t="s">
        <v>66</v>
      </c>
      <c r="U575" t="s">
        <v>90</v>
      </c>
      <c r="V575" t="s">
        <v>96</v>
      </c>
      <c r="W575" s="3">
        <v>45311</v>
      </c>
      <c r="X575" t="b">
        <v>1</v>
      </c>
      <c r="Y575" t="b">
        <v>0</v>
      </c>
      <c r="Z575" t="s">
        <v>92</v>
      </c>
      <c r="AA575" t="s">
        <v>97</v>
      </c>
      <c r="AB575">
        <v>7</v>
      </c>
      <c r="AO575" t="str">
        <f t="shared" si="30"/>
        <v>26-40</v>
      </c>
      <c r="BD575">
        <v>6</v>
      </c>
      <c r="BF575" cm="1">
        <f t="array" ref="BF575">CORREL(J575:J1575,S575:S1575)</f>
        <v>-0.0369671946389877</v>
      </c>
      <c r="BH575">
        <v>7</v>
      </c>
      <c r="BI575">
        <f t="shared" si="28"/>
        <v>0.857142857142857</v>
      </c>
      <c r="BJ575">
        <f t="shared" si="29"/>
        <v>8.16666666666667</v>
      </c>
    </row>
    <row r="576" spans="1:62">
      <c r="A576" s="1">
        <v>582335963</v>
      </c>
      <c r="B576">
        <v>34</v>
      </c>
      <c r="C576" t="s">
        <v>73</v>
      </c>
      <c r="D576" t="s">
        <v>74</v>
      </c>
      <c r="E576" t="s">
        <v>86</v>
      </c>
      <c r="F576" t="s">
        <v>62</v>
      </c>
      <c r="G576" t="s">
        <v>74</v>
      </c>
      <c r="H576" t="s">
        <v>746</v>
      </c>
      <c r="I576" t="s">
        <v>178</v>
      </c>
      <c r="J576" s="2">
        <v>393.09</v>
      </c>
      <c r="K576">
        <v>8</v>
      </c>
      <c r="L576" t="s">
        <v>85</v>
      </c>
      <c r="M576">
        <v>5</v>
      </c>
      <c r="N576">
        <v>3</v>
      </c>
      <c r="O576">
        <v>2</v>
      </c>
      <c r="P576" t="s">
        <v>79</v>
      </c>
      <c r="Q576" t="s">
        <v>67</v>
      </c>
      <c r="R576">
        <v>0</v>
      </c>
      <c r="S576">
        <v>3</v>
      </c>
      <c r="T576" t="s">
        <v>79</v>
      </c>
      <c r="U576" t="s">
        <v>68</v>
      </c>
      <c r="V576" t="s">
        <v>110</v>
      </c>
      <c r="W576" s="3">
        <v>45393</v>
      </c>
      <c r="X576" t="b">
        <v>0</v>
      </c>
      <c r="Y576" t="b">
        <v>1</v>
      </c>
      <c r="Z576" t="s">
        <v>102</v>
      </c>
      <c r="AA576" t="s">
        <v>83</v>
      </c>
      <c r="AB576">
        <v>1</v>
      </c>
      <c r="AO576" t="str">
        <f t="shared" si="30"/>
        <v>26-40</v>
      </c>
      <c r="BD576">
        <v>8</v>
      </c>
      <c r="BF576" cm="1">
        <f t="array" ref="BF576">CORREL(J576:J1576,S576:S1576)</f>
        <v>-0.0366629353418142</v>
      </c>
      <c r="BH576">
        <v>3</v>
      </c>
      <c r="BI576">
        <f t="shared" si="28"/>
        <v>2.66666666666667</v>
      </c>
      <c r="BJ576">
        <f t="shared" si="29"/>
        <v>1.125</v>
      </c>
    </row>
    <row r="577" spans="1:62">
      <c r="A577" s="4" t="s">
        <v>747</v>
      </c>
      <c r="B577">
        <v>32</v>
      </c>
      <c r="C577" t="s">
        <v>73</v>
      </c>
      <c r="D577" t="s">
        <v>60</v>
      </c>
      <c r="E577" t="s">
        <v>86</v>
      </c>
      <c r="F577" t="s">
        <v>87</v>
      </c>
      <c r="G577" t="s">
        <v>74</v>
      </c>
      <c r="H577" t="s">
        <v>748</v>
      </c>
      <c r="I577" t="s">
        <v>156</v>
      </c>
      <c r="J577" s="2">
        <v>167.61</v>
      </c>
      <c r="K577">
        <v>2</v>
      </c>
      <c r="L577" t="s">
        <v>85</v>
      </c>
      <c r="M577">
        <v>3</v>
      </c>
      <c r="N577">
        <v>5</v>
      </c>
      <c r="O577">
        <v>1</v>
      </c>
      <c r="P577" t="s">
        <v>66</v>
      </c>
      <c r="Q577" t="s">
        <v>80</v>
      </c>
      <c r="R577">
        <v>2</v>
      </c>
      <c r="S577">
        <v>2</v>
      </c>
      <c r="T577" t="s">
        <v>84</v>
      </c>
      <c r="U577" t="s">
        <v>105</v>
      </c>
      <c r="V577" t="s">
        <v>96</v>
      </c>
      <c r="W577" s="3">
        <v>45606</v>
      </c>
      <c r="X577" t="b">
        <v>1</v>
      </c>
      <c r="Y577" t="b">
        <v>0</v>
      </c>
      <c r="Z577" t="s">
        <v>70</v>
      </c>
      <c r="AA577" t="s">
        <v>71</v>
      </c>
      <c r="AB577">
        <v>13</v>
      </c>
      <c r="AO577" t="str">
        <f t="shared" si="30"/>
        <v>26-40</v>
      </c>
      <c r="BD577">
        <v>2</v>
      </c>
      <c r="BF577" cm="1">
        <f t="array" ref="BF577">CORREL(J577:J1577,S577:S1577)</f>
        <v>-0.0348981258690455</v>
      </c>
      <c r="BH577">
        <v>2</v>
      </c>
      <c r="BI577">
        <f t="shared" si="28"/>
        <v>1</v>
      </c>
      <c r="BJ577">
        <f t="shared" si="29"/>
        <v>2</v>
      </c>
    </row>
    <row r="578" spans="1:62">
      <c r="A578" s="1">
        <v>788229328</v>
      </c>
      <c r="B578">
        <v>44</v>
      </c>
      <c r="C578" t="s">
        <v>73</v>
      </c>
      <c r="D578" t="s">
        <v>74</v>
      </c>
      <c r="E578" t="s">
        <v>103</v>
      </c>
      <c r="F578" t="s">
        <v>75</v>
      </c>
      <c r="G578" t="s">
        <v>60</v>
      </c>
      <c r="H578" t="s">
        <v>749</v>
      </c>
      <c r="I578" t="s">
        <v>64</v>
      </c>
      <c r="J578" s="2">
        <v>324.22</v>
      </c>
      <c r="K578">
        <v>2</v>
      </c>
      <c r="L578" t="s">
        <v>78</v>
      </c>
      <c r="M578">
        <v>4</v>
      </c>
      <c r="N578">
        <v>2</v>
      </c>
      <c r="O578">
        <v>0</v>
      </c>
      <c r="P578" t="s">
        <v>66</v>
      </c>
      <c r="Q578" t="s">
        <v>67</v>
      </c>
      <c r="R578">
        <v>1</v>
      </c>
      <c r="S578">
        <v>6</v>
      </c>
      <c r="T578" t="s">
        <v>79</v>
      </c>
      <c r="U578" t="s">
        <v>105</v>
      </c>
      <c r="V578" t="s">
        <v>81</v>
      </c>
      <c r="W578" s="3">
        <v>45400</v>
      </c>
      <c r="X578" t="b">
        <v>0</v>
      </c>
      <c r="Y578" t="b">
        <v>0</v>
      </c>
      <c r="Z578" t="s">
        <v>82</v>
      </c>
      <c r="AA578" t="s">
        <v>97</v>
      </c>
      <c r="AB578">
        <v>14</v>
      </c>
      <c r="AO578" t="str">
        <f t="shared" si="30"/>
        <v>41-60</v>
      </c>
      <c r="BD578">
        <v>2</v>
      </c>
      <c r="BF578" cm="1">
        <f t="array" ref="BF578">CORREL(J578:J1578,S578:S1578)</f>
        <v>-0.0373568482080183</v>
      </c>
      <c r="BH578">
        <v>6</v>
      </c>
      <c r="BI578">
        <f t="shared" si="28"/>
        <v>0.333333333333333</v>
      </c>
      <c r="BJ578">
        <f t="shared" si="29"/>
        <v>18</v>
      </c>
    </row>
    <row r="579" spans="1:62">
      <c r="A579" s="1">
        <v>733591998</v>
      </c>
      <c r="B579">
        <v>24</v>
      </c>
      <c r="C579" t="s">
        <v>59</v>
      </c>
      <c r="D579" t="s">
        <v>60</v>
      </c>
      <c r="E579" t="s">
        <v>103</v>
      </c>
      <c r="F579" t="s">
        <v>62</v>
      </c>
      <c r="G579" t="s">
        <v>60</v>
      </c>
      <c r="H579" t="s">
        <v>750</v>
      </c>
      <c r="I579" t="s">
        <v>115</v>
      </c>
      <c r="J579" s="2">
        <v>159.3</v>
      </c>
      <c r="K579">
        <v>11</v>
      </c>
      <c r="L579" t="s">
        <v>65</v>
      </c>
      <c r="M579">
        <v>5</v>
      </c>
      <c r="N579">
        <v>4</v>
      </c>
      <c r="O579">
        <v>0</v>
      </c>
      <c r="P579" t="s">
        <v>79</v>
      </c>
      <c r="Q579" t="s">
        <v>67</v>
      </c>
      <c r="R579">
        <v>0</v>
      </c>
      <c r="S579">
        <v>6</v>
      </c>
      <c r="T579" t="s">
        <v>74</v>
      </c>
      <c r="U579" t="s">
        <v>68</v>
      </c>
      <c r="V579" t="s">
        <v>81</v>
      </c>
      <c r="W579" s="3">
        <v>45406</v>
      </c>
      <c r="X579" t="b">
        <v>0</v>
      </c>
      <c r="Y579" t="b">
        <v>1</v>
      </c>
      <c r="Z579" t="s">
        <v>92</v>
      </c>
      <c r="AA579" t="s">
        <v>97</v>
      </c>
      <c r="AB579">
        <v>2</v>
      </c>
      <c r="AO579" t="str">
        <f t="shared" si="30"/>
        <v>18-25</v>
      </c>
      <c r="BD579">
        <v>11</v>
      </c>
      <c r="BF579" cm="1">
        <f t="array" ref="BF579">CORREL(J579:J1579,S579:S1579)</f>
        <v>-0.0375318661300426</v>
      </c>
      <c r="BH579">
        <v>6</v>
      </c>
      <c r="BI579">
        <f t="shared" ref="BI579:BI642" si="31">K579/S579</f>
        <v>1.83333333333333</v>
      </c>
      <c r="BJ579">
        <f t="shared" ref="BJ579:BJ642" si="32">BH579/BI579</f>
        <v>3.27272727272727</v>
      </c>
    </row>
    <row r="580" spans="1:62">
      <c r="A580" s="1">
        <v>844597736</v>
      </c>
      <c r="B580">
        <v>22</v>
      </c>
      <c r="C580" t="s">
        <v>268</v>
      </c>
      <c r="D580" t="s">
        <v>60</v>
      </c>
      <c r="E580" t="s">
        <v>98</v>
      </c>
      <c r="F580" t="s">
        <v>87</v>
      </c>
      <c r="G580" t="s">
        <v>60</v>
      </c>
      <c r="H580" t="s">
        <v>751</v>
      </c>
      <c r="I580" t="s">
        <v>118</v>
      </c>
      <c r="J580" s="2">
        <v>324.39</v>
      </c>
      <c r="K580">
        <v>5</v>
      </c>
      <c r="L580" t="s">
        <v>85</v>
      </c>
      <c r="M580">
        <v>2</v>
      </c>
      <c r="N580">
        <v>2</v>
      </c>
      <c r="O580">
        <v>0</v>
      </c>
      <c r="P580" t="s">
        <v>74</v>
      </c>
      <c r="Q580" t="s">
        <v>109</v>
      </c>
      <c r="R580">
        <v>1</v>
      </c>
      <c r="S580">
        <v>6</v>
      </c>
      <c r="T580" t="s">
        <v>79</v>
      </c>
      <c r="U580" t="s">
        <v>105</v>
      </c>
      <c r="V580" t="s">
        <v>81</v>
      </c>
      <c r="W580" s="3">
        <v>45615</v>
      </c>
      <c r="X580" t="b">
        <v>1</v>
      </c>
      <c r="Y580" t="b">
        <v>0</v>
      </c>
      <c r="Z580" t="s">
        <v>70</v>
      </c>
      <c r="AA580" t="s">
        <v>97</v>
      </c>
      <c r="AB580">
        <v>1</v>
      </c>
      <c r="AO580" t="str">
        <f t="shared" si="30"/>
        <v>18-25</v>
      </c>
      <c r="BD580">
        <v>5</v>
      </c>
      <c r="BF580" cm="1">
        <f t="array" ref="BF580">CORREL(J580:J1580,S580:S1580)</f>
        <v>-0.0371686029721192</v>
      </c>
      <c r="BH580">
        <v>6</v>
      </c>
      <c r="BI580">
        <f t="shared" si="31"/>
        <v>0.833333333333333</v>
      </c>
      <c r="BJ580">
        <f t="shared" si="32"/>
        <v>7.2</v>
      </c>
    </row>
    <row r="581" spans="1:62">
      <c r="A581" s="4" t="s">
        <v>752</v>
      </c>
      <c r="B581">
        <v>37</v>
      </c>
      <c r="C581" t="s">
        <v>224</v>
      </c>
      <c r="D581" t="s">
        <v>74</v>
      </c>
      <c r="E581" t="s">
        <v>86</v>
      </c>
      <c r="F581" t="s">
        <v>75</v>
      </c>
      <c r="G581" t="s">
        <v>74</v>
      </c>
      <c r="H581" t="s">
        <v>753</v>
      </c>
      <c r="I581" t="s">
        <v>171</v>
      </c>
      <c r="J581" s="2">
        <v>198.89</v>
      </c>
      <c r="K581">
        <v>2</v>
      </c>
      <c r="L581" t="s">
        <v>78</v>
      </c>
      <c r="M581">
        <v>2</v>
      </c>
      <c r="N581">
        <v>2</v>
      </c>
      <c r="O581">
        <v>0</v>
      </c>
      <c r="P581" t="s">
        <v>74</v>
      </c>
      <c r="Q581" t="s">
        <v>80</v>
      </c>
      <c r="R581">
        <v>0</v>
      </c>
      <c r="S581">
        <v>4</v>
      </c>
      <c r="T581" t="s">
        <v>84</v>
      </c>
      <c r="U581" t="s">
        <v>68</v>
      </c>
      <c r="V581" t="s">
        <v>69</v>
      </c>
      <c r="W581" s="3">
        <v>45303</v>
      </c>
      <c r="X581" t="b">
        <v>0</v>
      </c>
      <c r="Y581" t="b">
        <v>0</v>
      </c>
      <c r="Z581" t="s">
        <v>92</v>
      </c>
      <c r="AA581" t="s">
        <v>83</v>
      </c>
      <c r="AB581">
        <v>1</v>
      </c>
      <c r="AO581" t="str">
        <f t="shared" si="30"/>
        <v>26-40</v>
      </c>
      <c r="BD581">
        <v>2</v>
      </c>
      <c r="BF581" cm="1">
        <f t="array" ref="BF581">CORREL(J581:J1581,S581:S1581)</f>
        <v>-0.0373446402662947</v>
      </c>
      <c r="BH581">
        <v>4</v>
      </c>
      <c r="BI581">
        <f t="shared" si="31"/>
        <v>0.5</v>
      </c>
      <c r="BJ581">
        <f t="shared" si="32"/>
        <v>8</v>
      </c>
    </row>
    <row r="582" spans="1:62">
      <c r="A582" s="4" t="s">
        <v>754</v>
      </c>
      <c r="B582">
        <v>41</v>
      </c>
      <c r="C582" t="s">
        <v>59</v>
      </c>
      <c r="D582" t="s">
        <v>60</v>
      </c>
      <c r="E582" t="s">
        <v>103</v>
      </c>
      <c r="F582" t="s">
        <v>87</v>
      </c>
      <c r="G582" t="s">
        <v>74</v>
      </c>
      <c r="H582" t="s">
        <v>755</v>
      </c>
      <c r="I582" t="s">
        <v>171</v>
      </c>
      <c r="J582" s="2">
        <v>287.18</v>
      </c>
      <c r="K582">
        <v>7</v>
      </c>
      <c r="L582" t="s">
        <v>78</v>
      </c>
      <c r="M582">
        <v>4</v>
      </c>
      <c r="N582">
        <v>5</v>
      </c>
      <c r="O582">
        <v>0</v>
      </c>
      <c r="P582" t="s">
        <v>66</v>
      </c>
      <c r="Q582" t="s">
        <v>80</v>
      </c>
      <c r="R582">
        <v>0</v>
      </c>
      <c r="S582">
        <v>1</v>
      </c>
      <c r="T582" t="s">
        <v>66</v>
      </c>
      <c r="U582" t="s">
        <v>68</v>
      </c>
      <c r="V582" t="s">
        <v>91</v>
      </c>
      <c r="W582" s="3">
        <v>45362</v>
      </c>
      <c r="X582" t="b">
        <v>1</v>
      </c>
      <c r="Y582" t="b">
        <v>0</v>
      </c>
      <c r="Z582" t="s">
        <v>102</v>
      </c>
      <c r="AA582" t="s">
        <v>71</v>
      </c>
      <c r="AB582">
        <v>8</v>
      </c>
      <c r="AO582" t="str">
        <f t="shared" si="30"/>
        <v>41-60</v>
      </c>
      <c r="BD582">
        <v>7</v>
      </c>
      <c r="BF582" cm="1">
        <f t="array" ref="BF582">CORREL(J582:J1582,S582:S1582)</f>
        <v>-0.038085048185657</v>
      </c>
      <c r="BH582">
        <v>1</v>
      </c>
      <c r="BI582">
        <f t="shared" si="31"/>
        <v>7</v>
      </c>
      <c r="BJ582">
        <f t="shared" si="32"/>
        <v>0.142857142857143</v>
      </c>
    </row>
    <row r="583" spans="1:62">
      <c r="A583" s="1">
        <v>619261691</v>
      </c>
      <c r="B583">
        <v>32</v>
      </c>
      <c r="C583" t="s">
        <v>73</v>
      </c>
      <c r="D583" t="s">
        <v>74</v>
      </c>
      <c r="E583" t="s">
        <v>103</v>
      </c>
      <c r="F583" t="s">
        <v>75</v>
      </c>
      <c r="G583" t="s">
        <v>60</v>
      </c>
      <c r="H583" t="s">
        <v>756</v>
      </c>
      <c r="I583" t="s">
        <v>89</v>
      </c>
      <c r="J583" s="2">
        <v>162.24</v>
      </c>
      <c r="K583">
        <v>7</v>
      </c>
      <c r="L583" t="s">
        <v>78</v>
      </c>
      <c r="M583">
        <v>5</v>
      </c>
      <c r="N583">
        <v>3</v>
      </c>
      <c r="O583">
        <v>1</v>
      </c>
      <c r="P583" t="s">
        <v>66</v>
      </c>
      <c r="Q583" t="s">
        <v>109</v>
      </c>
      <c r="R583">
        <v>2</v>
      </c>
      <c r="S583">
        <v>6</v>
      </c>
      <c r="T583" t="s">
        <v>84</v>
      </c>
      <c r="U583" t="s">
        <v>90</v>
      </c>
      <c r="V583" t="s">
        <v>81</v>
      </c>
      <c r="W583" s="3">
        <v>45576</v>
      </c>
      <c r="X583" t="b">
        <v>0</v>
      </c>
      <c r="Y583" t="b">
        <v>0</v>
      </c>
      <c r="Z583" t="s">
        <v>82</v>
      </c>
      <c r="AA583" t="s">
        <v>97</v>
      </c>
      <c r="AB583">
        <v>7</v>
      </c>
      <c r="AO583" t="str">
        <f t="shared" si="30"/>
        <v>26-40</v>
      </c>
      <c r="BD583">
        <v>7</v>
      </c>
      <c r="BF583" cm="1">
        <f t="array" ref="BF583">CORREL(J583:J1583,S583:S1583)</f>
        <v>-0.0378699183325551</v>
      </c>
      <c r="BH583">
        <v>6</v>
      </c>
      <c r="BI583">
        <f t="shared" si="31"/>
        <v>1.16666666666667</v>
      </c>
      <c r="BJ583">
        <f t="shared" si="32"/>
        <v>5.14285714285714</v>
      </c>
    </row>
    <row r="584" spans="1:62">
      <c r="A584" s="1">
        <v>681291060</v>
      </c>
      <c r="B584">
        <v>37</v>
      </c>
      <c r="C584" t="s">
        <v>59</v>
      </c>
      <c r="D584" t="s">
        <v>74</v>
      </c>
      <c r="E584" t="s">
        <v>103</v>
      </c>
      <c r="F584" t="s">
        <v>62</v>
      </c>
      <c r="G584" t="s">
        <v>74</v>
      </c>
      <c r="H584" t="s">
        <v>757</v>
      </c>
      <c r="I584" t="s">
        <v>143</v>
      </c>
      <c r="J584" s="2">
        <v>92.97</v>
      </c>
      <c r="K584">
        <v>6</v>
      </c>
      <c r="L584" t="s">
        <v>78</v>
      </c>
      <c r="M584">
        <v>5</v>
      </c>
      <c r="N584">
        <v>5</v>
      </c>
      <c r="O584">
        <v>0</v>
      </c>
      <c r="P584" t="s">
        <v>79</v>
      </c>
      <c r="Q584" t="s">
        <v>109</v>
      </c>
      <c r="R584">
        <v>0</v>
      </c>
      <c r="S584">
        <v>7</v>
      </c>
      <c r="T584" t="s">
        <v>84</v>
      </c>
      <c r="U584" t="s">
        <v>105</v>
      </c>
      <c r="V584" t="s">
        <v>96</v>
      </c>
      <c r="W584" s="3">
        <v>45641</v>
      </c>
      <c r="X584" t="b">
        <v>0</v>
      </c>
      <c r="Y584" t="b">
        <v>1</v>
      </c>
      <c r="Z584" t="s">
        <v>92</v>
      </c>
      <c r="AA584" t="s">
        <v>83</v>
      </c>
      <c r="AB584">
        <v>7</v>
      </c>
      <c r="AO584" t="str">
        <f t="shared" si="30"/>
        <v>26-40</v>
      </c>
      <c r="BD584">
        <v>6</v>
      </c>
      <c r="BF584" cm="1">
        <f t="array" ref="BF584">CORREL(J584:J1584,S584:S1584)</f>
        <v>-0.0375210088646196</v>
      </c>
      <c r="BH584">
        <v>7</v>
      </c>
      <c r="BI584">
        <f t="shared" si="31"/>
        <v>0.857142857142857</v>
      </c>
      <c r="BJ584">
        <f t="shared" si="32"/>
        <v>8.16666666666667</v>
      </c>
    </row>
    <row r="585" spans="1:62">
      <c r="A585" s="4" t="s">
        <v>758</v>
      </c>
      <c r="B585">
        <v>41</v>
      </c>
      <c r="C585" t="s">
        <v>73</v>
      </c>
      <c r="D585" t="s">
        <v>60</v>
      </c>
      <c r="E585" t="s">
        <v>98</v>
      </c>
      <c r="F585" t="s">
        <v>75</v>
      </c>
      <c r="G585" t="s">
        <v>60</v>
      </c>
      <c r="H585" t="s">
        <v>759</v>
      </c>
      <c r="I585" t="s">
        <v>77</v>
      </c>
      <c r="J585" s="2">
        <v>144.39</v>
      </c>
      <c r="K585">
        <v>12</v>
      </c>
      <c r="L585" t="s">
        <v>78</v>
      </c>
      <c r="M585">
        <v>5</v>
      </c>
      <c r="N585">
        <v>3</v>
      </c>
      <c r="O585">
        <v>2</v>
      </c>
      <c r="P585" t="s">
        <v>74</v>
      </c>
      <c r="Q585" t="s">
        <v>109</v>
      </c>
      <c r="R585">
        <v>0</v>
      </c>
      <c r="S585">
        <v>4</v>
      </c>
      <c r="T585" t="s">
        <v>84</v>
      </c>
      <c r="U585" t="s">
        <v>105</v>
      </c>
      <c r="V585" t="s">
        <v>110</v>
      </c>
      <c r="W585" s="3">
        <v>45454</v>
      </c>
      <c r="X585" t="b">
        <v>1</v>
      </c>
      <c r="Y585" t="b">
        <v>1</v>
      </c>
      <c r="Z585" t="s">
        <v>92</v>
      </c>
      <c r="AA585" t="s">
        <v>83</v>
      </c>
      <c r="AB585">
        <v>12</v>
      </c>
      <c r="AO585" t="str">
        <f t="shared" si="30"/>
        <v>41-60</v>
      </c>
      <c r="BD585">
        <v>12</v>
      </c>
      <c r="BF585" cm="1">
        <f t="array" ref="BF585">CORREL(J585:J1585,S585:S1585)</f>
        <v>-0.0358214539395315</v>
      </c>
      <c r="BH585">
        <v>4</v>
      </c>
      <c r="BI585">
        <f t="shared" si="31"/>
        <v>3</v>
      </c>
      <c r="BJ585">
        <f t="shared" si="32"/>
        <v>1.33333333333333</v>
      </c>
    </row>
    <row r="586" spans="1:62">
      <c r="A586" s="1">
        <v>412156092</v>
      </c>
      <c r="B586">
        <v>37</v>
      </c>
      <c r="C586" t="s">
        <v>59</v>
      </c>
      <c r="D586" t="s">
        <v>74</v>
      </c>
      <c r="E586" t="s">
        <v>86</v>
      </c>
      <c r="F586" t="s">
        <v>75</v>
      </c>
      <c r="G586" t="s">
        <v>74</v>
      </c>
      <c r="H586" t="s">
        <v>760</v>
      </c>
      <c r="I586" t="s">
        <v>107</v>
      </c>
      <c r="J586" s="2">
        <v>253.37</v>
      </c>
      <c r="K586">
        <v>12</v>
      </c>
      <c r="L586" t="s">
        <v>78</v>
      </c>
      <c r="M586">
        <v>2</v>
      </c>
      <c r="N586">
        <v>5</v>
      </c>
      <c r="O586">
        <v>0</v>
      </c>
      <c r="P586" t="s">
        <v>66</v>
      </c>
      <c r="Q586" t="s">
        <v>109</v>
      </c>
      <c r="R586">
        <v>0</v>
      </c>
      <c r="S586">
        <v>9</v>
      </c>
      <c r="T586" t="s">
        <v>84</v>
      </c>
      <c r="U586" t="s">
        <v>68</v>
      </c>
      <c r="V586" t="s">
        <v>69</v>
      </c>
      <c r="W586" s="3">
        <v>45420</v>
      </c>
      <c r="X586" t="b">
        <v>0</v>
      </c>
      <c r="Y586" t="b">
        <v>1</v>
      </c>
      <c r="Z586" t="s">
        <v>102</v>
      </c>
      <c r="AA586" t="s">
        <v>97</v>
      </c>
      <c r="AB586">
        <v>6</v>
      </c>
      <c r="AO586" t="str">
        <f t="shared" si="30"/>
        <v>26-40</v>
      </c>
      <c r="BD586">
        <v>12</v>
      </c>
      <c r="BF586" cm="1">
        <f t="array" ref="BF586">CORREL(J586:J1586,S586:S1586)</f>
        <v>-0.0371232335255619</v>
      </c>
      <c r="BH586">
        <v>9</v>
      </c>
      <c r="BI586">
        <f t="shared" si="31"/>
        <v>1.33333333333333</v>
      </c>
      <c r="BJ586">
        <f t="shared" si="32"/>
        <v>6.75</v>
      </c>
    </row>
    <row r="587" spans="1:62">
      <c r="A587" s="1">
        <v>898337175</v>
      </c>
      <c r="B587">
        <v>43</v>
      </c>
      <c r="C587" t="s">
        <v>73</v>
      </c>
      <c r="D587" t="s">
        <v>60</v>
      </c>
      <c r="E587" t="s">
        <v>98</v>
      </c>
      <c r="F587" t="s">
        <v>75</v>
      </c>
      <c r="G587" t="s">
        <v>74</v>
      </c>
      <c r="H587" t="s">
        <v>761</v>
      </c>
      <c r="I587" t="s">
        <v>120</v>
      </c>
      <c r="J587" s="2">
        <v>209.62</v>
      </c>
      <c r="K587">
        <v>12</v>
      </c>
      <c r="L587" t="s">
        <v>65</v>
      </c>
      <c r="M587">
        <v>1</v>
      </c>
      <c r="N587">
        <v>2</v>
      </c>
      <c r="O587">
        <v>1</v>
      </c>
      <c r="P587" t="s">
        <v>79</v>
      </c>
      <c r="Q587" t="s">
        <v>109</v>
      </c>
      <c r="R587">
        <v>0</v>
      </c>
      <c r="S587">
        <v>7</v>
      </c>
      <c r="T587" t="s">
        <v>79</v>
      </c>
      <c r="U587" t="s">
        <v>68</v>
      </c>
      <c r="V587" t="s">
        <v>96</v>
      </c>
      <c r="W587" s="3">
        <v>45577</v>
      </c>
      <c r="X587" t="b">
        <v>1</v>
      </c>
      <c r="Y587" t="b">
        <v>0</v>
      </c>
      <c r="Z587" t="s">
        <v>102</v>
      </c>
      <c r="AA587" t="s">
        <v>83</v>
      </c>
      <c r="AB587">
        <v>9</v>
      </c>
      <c r="AO587" t="str">
        <f t="shared" si="30"/>
        <v>41-60</v>
      </c>
      <c r="BD587">
        <v>12</v>
      </c>
      <c r="BF587" cm="1">
        <f t="array" ref="BF587">CORREL(J587:J1587,S587:S1587)</f>
        <v>-0.0366646817839221</v>
      </c>
      <c r="BH587">
        <v>7</v>
      </c>
      <c r="BI587">
        <f t="shared" si="31"/>
        <v>1.71428571428571</v>
      </c>
      <c r="BJ587">
        <f t="shared" si="32"/>
        <v>4.08333333333333</v>
      </c>
    </row>
    <row r="588" spans="1:62">
      <c r="A588" s="4" t="s">
        <v>762</v>
      </c>
      <c r="B588">
        <v>49</v>
      </c>
      <c r="C588" t="s">
        <v>73</v>
      </c>
      <c r="D588" t="s">
        <v>74</v>
      </c>
      <c r="E588" t="s">
        <v>86</v>
      </c>
      <c r="F588" t="s">
        <v>75</v>
      </c>
      <c r="G588" t="s">
        <v>60</v>
      </c>
      <c r="H588" t="s">
        <v>763</v>
      </c>
      <c r="I588" t="s">
        <v>135</v>
      </c>
      <c r="J588" s="2">
        <v>411.62</v>
      </c>
      <c r="K588">
        <v>6</v>
      </c>
      <c r="L588" t="s">
        <v>65</v>
      </c>
      <c r="M588">
        <v>2</v>
      </c>
      <c r="N588">
        <v>1</v>
      </c>
      <c r="O588">
        <v>0</v>
      </c>
      <c r="P588" t="s">
        <v>79</v>
      </c>
      <c r="Q588" t="s">
        <v>67</v>
      </c>
      <c r="R588">
        <v>2</v>
      </c>
      <c r="S588">
        <v>7</v>
      </c>
      <c r="T588" t="s">
        <v>79</v>
      </c>
      <c r="U588" t="s">
        <v>68</v>
      </c>
      <c r="V588" t="s">
        <v>81</v>
      </c>
      <c r="W588" s="3">
        <v>45570</v>
      </c>
      <c r="X588" t="b">
        <v>1</v>
      </c>
      <c r="Y588" t="b">
        <v>0</v>
      </c>
      <c r="Z588" t="s">
        <v>82</v>
      </c>
      <c r="AA588" t="s">
        <v>97</v>
      </c>
      <c r="AB588">
        <v>12</v>
      </c>
      <c r="AO588" t="str">
        <f t="shared" si="30"/>
        <v>41-60</v>
      </c>
      <c r="BD588">
        <v>6</v>
      </c>
      <c r="BF588" cm="1">
        <f t="array" ref="BF588">CORREL(J588:J1588,S588:S1588)</f>
        <v>-0.0360231160394105</v>
      </c>
      <c r="BH588">
        <v>7</v>
      </c>
      <c r="BI588">
        <f t="shared" si="31"/>
        <v>0.857142857142857</v>
      </c>
      <c r="BJ588">
        <f t="shared" si="32"/>
        <v>8.16666666666667</v>
      </c>
    </row>
    <row r="589" spans="1:62">
      <c r="A589" s="1">
        <v>241092173</v>
      </c>
      <c r="B589">
        <v>27</v>
      </c>
      <c r="C589" t="s">
        <v>59</v>
      </c>
      <c r="D589" t="s">
        <v>74</v>
      </c>
      <c r="E589" t="s">
        <v>86</v>
      </c>
      <c r="F589" t="s">
        <v>62</v>
      </c>
      <c r="G589" t="s">
        <v>74</v>
      </c>
      <c r="H589" t="s">
        <v>764</v>
      </c>
      <c r="I589" t="s">
        <v>77</v>
      </c>
      <c r="J589" s="2">
        <v>388.01</v>
      </c>
      <c r="K589">
        <v>2</v>
      </c>
      <c r="L589" t="s">
        <v>85</v>
      </c>
      <c r="M589">
        <v>1</v>
      </c>
      <c r="N589">
        <v>5</v>
      </c>
      <c r="O589">
        <v>1</v>
      </c>
      <c r="P589" t="s">
        <v>74</v>
      </c>
      <c r="Q589" t="s">
        <v>109</v>
      </c>
      <c r="R589">
        <v>1</v>
      </c>
      <c r="S589">
        <v>2</v>
      </c>
      <c r="T589" t="s">
        <v>66</v>
      </c>
      <c r="U589" t="s">
        <v>68</v>
      </c>
      <c r="V589" t="s">
        <v>81</v>
      </c>
      <c r="W589" s="3">
        <v>45615</v>
      </c>
      <c r="X589" t="b">
        <v>0</v>
      </c>
      <c r="Y589" t="b">
        <v>1</v>
      </c>
      <c r="Z589" t="s">
        <v>82</v>
      </c>
      <c r="AA589" t="s">
        <v>83</v>
      </c>
      <c r="AB589">
        <v>10</v>
      </c>
      <c r="AO589" t="str">
        <f t="shared" si="30"/>
        <v>26-40</v>
      </c>
      <c r="BD589">
        <v>2</v>
      </c>
      <c r="BF589" cm="1">
        <f t="array" ref="BF589">CORREL(J589:J1589,S589:S1589)</f>
        <v>-0.037424555831853</v>
      </c>
      <c r="BH589">
        <v>2</v>
      </c>
      <c r="BI589">
        <f t="shared" si="31"/>
        <v>1</v>
      </c>
      <c r="BJ589">
        <f t="shared" si="32"/>
        <v>2</v>
      </c>
    </row>
    <row r="590" spans="1:62">
      <c r="A590" s="1">
        <v>799392140</v>
      </c>
      <c r="B590">
        <v>41</v>
      </c>
      <c r="C590" t="s">
        <v>73</v>
      </c>
      <c r="D590" t="s">
        <v>60</v>
      </c>
      <c r="E590" t="s">
        <v>98</v>
      </c>
      <c r="F590" t="s">
        <v>75</v>
      </c>
      <c r="G590" t="s">
        <v>74</v>
      </c>
      <c r="H590" t="s">
        <v>765</v>
      </c>
      <c r="I590" t="s">
        <v>122</v>
      </c>
      <c r="J590" s="2">
        <v>50.78</v>
      </c>
      <c r="K590">
        <v>6</v>
      </c>
      <c r="L590" t="s">
        <v>85</v>
      </c>
      <c r="M590">
        <v>5</v>
      </c>
      <c r="N590">
        <v>1</v>
      </c>
      <c r="O590">
        <v>1</v>
      </c>
      <c r="P590" t="s">
        <v>84</v>
      </c>
      <c r="Q590" t="s">
        <v>67</v>
      </c>
      <c r="R590">
        <v>1</v>
      </c>
      <c r="S590">
        <v>8</v>
      </c>
      <c r="T590" t="s">
        <v>66</v>
      </c>
      <c r="U590" t="s">
        <v>68</v>
      </c>
      <c r="V590" t="s">
        <v>91</v>
      </c>
      <c r="W590" s="3">
        <v>45303</v>
      </c>
      <c r="X590" t="b">
        <v>0</v>
      </c>
      <c r="Y590" t="b">
        <v>1</v>
      </c>
      <c r="Z590" t="s">
        <v>70</v>
      </c>
      <c r="AA590" t="s">
        <v>83</v>
      </c>
      <c r="AB590">
        <v>9</v>
      </c>
      <c r="AO590" t="str">
        <f t="shared" si="30"/>
        <v>41-60</v>
      </c>
      <c r="BD590">
        <v>6</v>
      </c>
      <c r="BF590" cm="1">
        <f t="array" ref="BF590">CORREL(J590:J1590,S590:S1590)</f>
        <v>-0.0350264084207375</v>
      </c>
      <c r="BH590">
        <v>8</v>
      </c>
      <c r="BI590">
        <f t="shared" si="31"/>
        <v>0.75</v>
      </c>
      <c r="BJ590">
        <f t="shared" si="32"/>
        <v>10.6666666666667</v>
      </c>
    </row>
    <row r="591" spans="1:62">
      <c r="A591" s="1">
        <v>959990984</v>
      </c>
      <c r="B591">
        <v>33</v>
      </c>
      <c r="C591" t="s">
        <v>73</v>
      </c>
      <c r="D591" t="s">
        <v>74</v>
      </c>
      <c r="E591" t="s">
        <v>103</v>
      </c>
      <c r="F591" t="s">
        <v>62</v>
      </c>
      <c r="G591" t="s">
        <v>60</v>
      </c>
      <c r="H591" t="s">
        <v>766</v>
      </c>
      <c r="I591" t="s">
        <v>129</v>
      </c>
      <c r="J591" s="2">
        <v>159.82</v>
      </c>
      <c r="K591">
        <v>2</v>
      </c>
      <c r="L591" t="s">
        <v>78</v>
      </c>
      <c r="M591">
        <v>2</v>
      </c>
      <c r="N591">
        <v>1</v>
      </c>
      <c r="O591">
        <v>1</v>
      </c>
      <c r="P591" t="s">
        <v>74</v>
      </c>
      <c r="Q591" t="s">
        <v>109</v>
      </c>
      <c r="R591">
        <v>2</v>
      </c>
      <c r="S591">
        <v>8</v>
      </c>
      <c r="T591" t="s">
        <v>79</v>
      </c>
      <c r="U591" t="s">
        <v>68</v>
      </c>
      <c r="V591" t="s">
        <v>110</v>
      </c>
      <c r="W591" s="3">
        <v>45635</v>
      </c>
      <c r="X591" t="b">
        <v>1</v>
      </c>
      <c r="Y591" t="b">
        <v>1</v>
      </c>
      <c r="Z591" t="s">
        <v>102</v>
      </c>
      <c r="AA591" t="s">
        <v>71</v>
      </c>
      <c r="AB591">
        <v>10</v>
      </c>
      <c r="AO591" t="str">
        <f t="shared" si="30"/>
        <v>26-40</v>
      </c>
      <c r="BD591">
        <v>2</v>
      </c>
      <c r="BF591" cm="1">
        <f t="array" ref="BF591">CORREL(J591:J1591,S591:S1591)</f>
        <v>-0.0314577884747872</v>
      </c>
      <c r="BH591">
        <v>8</v>
      </c>
      <c r="BI591">
        <f t="shared" si="31"/>
        <v>0.25</v>
      </c>
      <c r="BJ591">
        <f t="shared" si="32"/>
        <v>32</v>
      </c>
    </row>
    <row r="592" spans="1:62">
      <c r="A592" s="1">
        <v>647993174</v>
      </c>
      <c r="B592">
        <v>46</v>
      </c>
      <c r="C592" t="s">
        <v>73</v>
      </c>
      <c r="D592" t="s">
        <v>60</v>
      </c>
      <c r="E592" t="s">
        <v>103</v>
      </c>
      <c r="F592" t="s">
        <v>87</v>
      </c>
      <c r="G592" t="s">
        <v>60</v>
      </c>
      <c r="H592" t="s">
        <v>767</v>
      </c>
      <c r="I592" t="s">
        <v>178</v>
      </c>
      <c r="J592" s="2">
        <v>79.43</v>
      </c>
      <c r="K592">
        <v>3</v>
      </c>
      <c r="L592" t="s">
        <v>78</v>
      </c>
      <c r="M592">
        <v>1</v>
      </c>
      <c r="N592">
        <v>5</v>
      </c>
      <c r="O592">
        <v>0</v>
      </c>
      <c r="P592" t="s">
        <v>79</v>
      </c>
      <c r="Q592" t="s">
        <v>67</v>
      </c>
      <c r="R592">
        <v>2</v>
      </c>
      <c r="S592">
        <v>7</v>
      </c>
      <c r="T592" t="s">
        <v>66</v>
      </c>
      <c r="U592" t="s">
        <v>90</v>
      </c>
      <c r="V592" t="s">
        <v>81</v>
      </c>
      <c r="W592" s="3">
        <v>45306</v>
      </c>
      <c r="X592" t="b">
        <v>0</v>
      </c>
      <c r="Y592" t="b">
        <v>0</v>
      </c>
      <c r="Z592" t="s">
        <v>82</v>
      </c>
      <c r="AA592" t="s">
        <v>71</v>
      </c>
      <c r="AB592">
        <v>6</v>
      </c>
      <c r="AO592" t="str">
        <f t="shared" si="30"/>
        <v>41-60</v>
      </c>
      <c r="BD592">
        <v>3</v>
      </c>
      <c r="BF592" cm="1">
        <f t="array" ref="BF592">CORREL(J592:J1592,S592:S1592)</f>
        <v>-0.0295768893748489</v>
      </c>
      <c r="BH592">
        <v>7</v>
      </c>
      <c r="BI592">
        <f t="shared" si="31"/>
        <v>0.428571428571429</v>
      </c>
      <c r="BJ592">
        <f t="shared" si="32"/>
        <v>16.3333333333333</v>
      </c>
    </row>
    <row r="593" spans="1:62">
      <c r="A593" s="1">
        <v>270182262</v>
      </c>
      <c r="B593">
        <v>42</v>
      </c>
      <c r="C593" t="s">
        <v>59</v>
      </c>
      <c r="D593" t="s">
        <v>60</v>
      </c>
      <c r="E593" t="s">
        <v>61</v>
      </c>
      <c r="F593" t="s">
        <v>62</v>
      </c>
      <c r="G593" t="s">
        <v>60</v>
      </c>
      <c r="H593" t="s">
        <v>768</v>
      </c>
      <c r="I593" t="s">
        <v>178</v>
      </c>
      <c r="J593" s="2">
        <v>131.36</v>
      </c>
      <c r="K593">
        <v>4</v>
      </c>
      <c r="L593" t="s">
        <v>78</v>
      </c>
      <c r="M593">
        <v>4</v>
      </c>
      <c r="N593">
        <v>4</v>
      </c>
      <c r="O593">
        <v>2</v>
      </c>
      <c r="P593" t="s">
        <v>66</v>
      </c>
      <c r="Q593" t="s">
        <v>67</v>
      </c>
      <c r="R593">
        <v>1</v>
      </c>
      <c r="S593">
        <v>6</v>
      </c>
      <c r="T593" t="s">
        <v>74</v>
      </c>
      <c r="U593" t="s">
        <v>90</v>
      </c>
      <c r="V593" t="s">
        <v>91</v>
      </c>
      <c r="W593" s="3">
        <v>45617</v>
      </c>
      <c r="X593" t="b">
        <v>0</v>
      </c>
      <c r="Y593" t="b">
        <v>0</v>
      </c>
      <c r="Z593" t="s">
        <v>82</v>
      </c>
      <c r="AA593" t="s">
        <v>97</v>
      </c>
      <c r="AB593">
        <v>3</v>
      </c>
      <c r="AO593" t="str">
        <f t="shared" si="30"/>
        <v>41-60</v>
      </c>
      <c r="BD593">
        <v>4</v>
      </c>
      <c r="BF593" cm="1">
        <f t="array" ref="BF593">CORREL(J593:J1593,S593:S1593)</f>
        <v>-0.0276635847105334</v>
      </c>
      <c r="BH593">
        <v>6</v>
      </c>
      <c r="BI593">
        <f t="shared" si="31"/>
        <v>0.666666666666667</v>
      </c>
      <c r="BJ593">
        <f t="shared" si="32"/>
        <v>9</v>
      </c>
    </row>
    <row r="594" spans="1:62">
      <c r="A594" s="1">
        <v>388810766</v>
      </c>
      <c r="B594">
        <v>27</v>
      </c>
      <c r="C594" t="s">
        <v>73</v>
      </c>
      <c r="D594" t="s">
        <v>60</v>
      </c>
      <c r="E594" t="s">
        <v>98</v>
      </c>
      <c r="F594" t="s">
        <v>75</v>
      </c>
      <c r="G594" t="s">
        <v>60</v>
      </c>
      <c r="H594" t="s">
        <v>769</v>
      </c>
      <c r="I594" t="s">
        <v>174</v>
      </c>
      <c r="J594" s="2">
        <v>299.75</v>
      </c>
      <c r="K594">
        <v>12</v>
      </c>
      <c r="L594" t="s">
        <v>65</v>
      </c>
      <c r="M594">
        <v>2</v>
      </c>
      <c r="N594">
        <v>5</v>
      </c>
      <c r="O594">
        <v>0.3</v>
      </c>
      <c r="P594" t="s">
        <v>84</v>
      </c>
      <c r="Q594" t="s">
        <v>109</v>
      </c>
      <c r="R594">
        <v>0</v>
      </c>
      <c r="S594">
        <v>4</v>
      </c>
      <c r="T594" t="s">
        <v>84</v>
      </c>
      <c r="U594" t="s">
        <v>105</v>
      </c>
      <c r="V594" t="s">
        <v>69</v>
      </c>
      <c r="W594" s="3">
        <v>45478</v>
      </c>
      <c r="X594" t="b">
        <v>0</v>
      </c>
      <c r="Y594" t="b">
        <v>1</v>
      </c>
      <c r="Z594" t="s">
        <v>70</v>
      </c>
      <c r="AA594" t="s">
        <v>71</v>
      </c>
      <c r="AB594">
        <v>7</v>
      </c>
      <c r="AO594" t="str">
        <f t="shared" si="30"/>
        <v>26-40</v>
      </c>
      <c r="BD594">
        <v>12</v>
      </c>
      <c r="BF594" cm="1">
        <f t="array" ref="BF594">CORREL(J594:J1594,S594:S1594)</f>
        <v>-0.0271763678706753</v>
      </c>
      <c r="BH594">
        <v>4</v>
      </c>
      <c r="BI594">
        <f t="shared" si="31"/>
        <v>3</v>
      </c>
      <c r="BJ594">
        <f t="shared" si="32"/>
        <v>1.33333333333333</v>
      </c>
    </row>
    <row r="595" spans="1:62">
      <c r="A595" s="1">
        <v>173448603</v>
      </c>
      <c r="B595">
        <v>29</v>
      </c>
      <c r="C595" t="s">
        <v>73</v>
      </c>
      <c r="D595" t="s">
        <v>74</v>
      </c>
      <c r="E595" t="s">
        <v>103</v>
      </c>
      <c r="F595" t="s">
        <v>62</v>
      </c>
      <c r="G595" t="s">
        <v>60</v>
      </c>
      <c r="H595" t="s">
        <v>770</v>
      </c>
      <c r="I595" t="s">
        <v>120</v>
      </c>
      <c r="J595" s="2">
        <v>319.38</v>
      </c>
      <c r="K595">
        <v>9</v>
      </c>
      <c r="L595" t="s">
        <v>78</v>
      </c>
      <c r="M595">
        <v>4</v>
      </c>
      <c r="N595">
        <v>1</v>
      </c>
      <c r="O595">
        <v>0</v>
      </c>
      <c r="P595" t="s">
        <v>84</v>
      </c>
      <c r="Q595" t="s">
        <v>80</v>
      </c>
      <c r="R595">
        <v>1</v>
      </c>
      <c r="S595">
        <v>6</v>
      </c>
      <c r="T595" t="s">
        <v>74</v>
      </c>
      <c r="U595" t="s">
        <v>68</v>
      </c>
      <c r="V595" t="s">
        <v>81</v>
      </c>
      <c r="W595" s="3">
        <v>45611</v>
      </c>
      <c r="X595" t="b">
        <v>1</v>
      </c>
      <c r="Y595" t="b">
        <v>1</v>
      </c>
      <c r="Z595" t="s">
        <v>70</v>
      </c>
      <c r="AA595" t="s">
        <v>71</v>
      </c>
      <c r="AB595">
        <v>8</v>
      </c>
      <c r="AO595" t="str">
        <f t="shared" si="30"/>
        <v>26-40</v>
      </c>
      <c r="BD595">
        <v>9</v>
      </c>
      <c r="BF595" cm="1">
        <f t="array" ref="BF595">CORREL(J595:J1595,S595:S1595)</f>
        <v>-0.0269790699996864</v>
      </c>
      <c r="BH595">
        <v>6</v>
      </c>
      <c r="BI595">
        <f t="shared" si="31"/>
        <v>1.5</v>
      </c>
      <c r="BJ595">
        <f t="shared" si="32"/>
        <v>4</v>
      </c>
    </row>
    <row r="596" spans="1:62">
      <c r="A596" s="1">
        <v>513879144</v>
      </c>
      <c r="B596">
        <v>38</v>
      </c>
      <c r="C596" t="s">
        <v>73</v>
      </c>
      <c r="D596" t="s">
        <v>74</v>
      </c>
      <c r="E596" t="s">
        <v>86</v>
      </c>
      <c r="F596" t="s">
        <v>87</v>
      </c>
      <c r="G596" t="s">
        <v>60</v>
      </c>
      <c r="H596" t="s">
        <v>771</v>
      </c>
      <c r="I596" t="s">
        <v>131</v>
      </c>
      <c r="J596" s="2">
        <v>476.48</v>
      </c>
      <c r="K596">
        <v>8</v>
      </c>
      <c r="L596" t="s">
        <v>85</v>
      </c>
      <c r="M596">
        <v>5</v>
      </c>
      <c r="N596">
        <v>2</v>
      </c>
      <c r="O596">
        <v>1</v>
      </c>
      <c r="P596" t="s">
        <v>66</v>
      </c>
      <c r="Q596" t="s">
        <v>67</v>
      </c>
      <c r="R596">
        <v>2</v>
      </c>
      <c r="S596">
        <v>10</v>
      </c>
      <c r="T596" t="s">
        <v>74</v>
      </c>
      <c r="U596" t="s">
        <v>105</v>
      </c>
      <c r="V596" t="s">
        <v>81</v>
      </c>
      <c r="W596" s="3">
        <v>45479</v>
      </c>
      <c r="X596" t="b">
        <v>0</v>
      </c>
      <c r="Y596" t="b">
        <v>1</v>
      </c>
      <c r="Z596" t="s">
        <v>92</v>
      </c>
      <c r="AA596" t="s">
        <v>97</v>
      </c>
      <c r="AB596">
        <v>3</v>
      </c>
      <c r="AO596" t="str">
        <f t="shared" si="30"/>
        <v>26-40</v>
      </c>
      <c r="BD596">
        <v>8</v>
      </c>
      <c r="BF596" cm="1">
        <f t="array" ref="BF596">CORREL(J596:J1596,S596:S1596)</f>
        <v>-0.0271334426354405</v>
      </c>
      <c r="BH596">
        <v>10</v>
      </c>
      <c r="BI596">
        <f t="shared" si="31"/>
        <v>0.8</v>
      </c>
      <c r="BJ596">
        <f t="shared" si="32"/>
        <v>12.5</v>
      </c>
    </row>
    <row r="597" spans="1:62">
      <c r="A597" s="1">
        <v>421018525</v>
      </c>
      <c r="B597">
        <v>21</v>
      </c>
      <c r="C597" t="s">
        <v>73</v>
      </c>
      <c r="D597" t="s">
        <v>60</v>
      </c>
      <c r="E597" t="s">
        <v>98</v>
      </c>
      <c r="F597" t="s">
        <v>62</v>
      </c>
      <c r="G597" t="s">
        <v>60</v>
      </c>
      <c r="H597" t="s">
        <v>772</v>
      </c>
      <c r="I597" t="s">
        <v>64</v>
      </c>
      <c r="J597" s="2">
        <v>301.01</v>
      </c>
      <c r="K597">
        <v>9</v>
      </c>
      <c r="L597" t="s">
        <v>65</v>
      </c>
      <c r="M597">
        <v>2</v>
      </c>
      <c r="N597">
        <v>1</v>
      </c>
      <c r="O597">
        <v>2</v>
      </c>
      <c r="P597" t="s">
        <v>74</v>
      </c>
      <c r="Q597" t="s">
        <v>80</v>
      </c>
      <c r="R597">
        <v>2</v>
      </c>
      <c r="S597">
        <v>8</v>
      </c>
      <c r="T597" t="s">
        <v>79</v>
      </c>
      <c r="U597" t="s">
        <v>90</v>
      </c>
      <c r="V597" t="s">
        <v>96</v>
      </c>
      <c r="W597" s="3">
        <v>45527</v>
      </c>
      <c r="X597" t="b">
        <v>0</v>
      </c>
      <c r="Y597" t="b">
        <v>1</v>
      </c>
      <c r="Z597" t="s">
        <v>70</v>
      </c>
      <c r="AA597" t="s">
        <v>97</v>
      </c>
      <c r="AB597">
        <v>13</v>
      </c>
      <c r="AO597" t="str">
        <f t="shared" si="30"/>
        <v>18-25</v>
      </c>
      <c r="BD597">
        <v>9</v>
      </c>
      <c r="BF597" cm="1">
        <f t="array" ref="BF597">CORREL(J597:J1597,S597:S1597)</f>
        <v>-0.0332664600505281</v>
      </c>
      <c r="BH597">
        <v>8</v>
      </c>
      <c r="BI597">
        <f t="shared" si="31"/>
        <v>1.125</v>
      </c>
      <c r="BJ597">
        <f t="shared" si="32"/>
        <v>7.11111111111111</v>
      </c>
    </row>
    <row r="598" spans="1:62">
      <c r="A598" s="1">
        <v>691576752</v>
      </c>
      <c r="B598">
        <v>18</v>
      </c>
      <c r="C598" t="s">
        <v>73</v>
      </c>
      <c r="D598" t="s">
        <v>60</v>
      </c>
      <c r="E598" t="s">
        <v>86</v>
      </c>
      <c r="F598" t="s">
        <v>62</v>
      </c>
      <c r="G598" t="s">
        <v>60</v>
      </c>
      <c r="H598" t="s">
        <v>773</v>
      </c>
      <c r="I598" t="s">
        <v>131</v>
      </c>
      <c r="J598" s="2">
        <v>378.71</v>
      </c>
      <c r="K598">
        <v>5</v>
      </c>
      <c r="L598" t="s">
        <v>85</v>
      </c>
      <c r="M598">
        <v>4</v>
      </c>
      <c r="N598">
        <v>1</v>
      </c>
      <c r="O598">
        <v>2</v>
      </c>
      <c r="P598" t="s">
        <v>79</v>
      </c>
      <c r="Q598" t="s">
        <v>67</v>
      </c>
      <c r="R598">
        <v>2</v>
      </c>
      <c r="S598">
        <v>5</v>
      </c>
      <c r="T598" t="s">
        <v>66</v>
      </c>
      <c r="U598" t="s">
        <v>105</v>
      </c>
      <c r="V598" t="s">
        <v>96</v>
      </c>
      <c r="W598" s="3">
        <v>45534</v>
      </c>
      <c r="X598" t="b">
        <v>1</v>
      </c>
      <c r="Y598" t="b">
        <v>1</v>
      </c>
      <c r="Z598" t="s">
        <v>102</v>
      </c>
      <c r="AA598" t="s">
        <v>97</v>
      </c>
      <c r="AB598">
        <v>14</v>
      </c>
      <c r="AO598" t="str">
        <f t="shared" si="30"/>
        <v>18-25</v>
      </c>
      <c r="BD598">
        <v>5</v>
      </c>
      <c r="BF598" cm="1">
        <f t="array" ref="BF598">CORREL(J598:J1598,S598:S1598)</f>
        <v>-0.0337032929171416</v>
      </c>
      <c r="BH598">
        <v>5</v>
      </c>
      <c r="BI598">
        <f t="shared" si="31"/>
        <v>1</v>
      </c>
      <c r="BJ598">
        <f t="shared" si="32"/>
        <v>5</v>
      </c>
    </row>
    <row r="599" spans="1:62">
      <c r="A599" s="1">
        <v>278435553</v>
      </c>
      <c r="B599">
        <v>44</v>
      </c>
      <c r="C599" t="s">
        <v>175</v>
      </c>
      <c r="D599" t="s">
        <v>60</v>
      </c>
      <c r="E599" t="s">
        <v>86</v>
      </c>
      <c r="F599" t="s">
        <v>62</v>
      </c>
      <c r="G599" t="s">
        <v>60</v>
      </c>
      <c r="H599" t="s">
        <v>774</v>
      </c>
      <c r="I599" t="s">
        <v>115</v>
      </c>
      <c r="J599" s="2">
        <v>314.32</v>
      </c>
      <c r="K599">
        <v>6</v>
      </c>
      <c r="L599" t="s">
        <v>85</v>
      </c>
      <c r="M599">
        <v>1</v>
      </c>
      <c r="N599">
        <v>4</v>
      </c>
      <c r="O599">
        <v>2</v>
      </c>
      <c r="P599" t="s">
        <v>74</v>
      </c>
      <c r="Q599" t="s">
        <v>109</v>
      </c>
      <c r="R599">
        <v>2</v>
      </c>
      <c r="S599">
        <v>5</v>
      </c>
      <c r="T599" t="s">
        <v>84</v>
      </c>
      <c r="U599" t="s">
        <v>90</v>
      </c>
      <c r="V599" t="s">
        <v>69</v>
      </c>
      <c r="W599" s="3">
        <v>45367</v>
      </c>
      <c r="X599" t="b">
        <v>1</v>
      </c>
      <c r="Y599" t="b">
        <v>0</v>
      </c>
      <c r="Z599" t="s">
        <v>92</v>
      </c>
      <c r="AA599" t="s">
        <v>83</v>
      </c>
      <c r="AB599">
        <v>7</v>
      </c>
      <c r="AO599" t="str">
        <f t="shared" si="30"/>
        <v>41-60</v>
      </c>
      <c r="BD599">
        <v>6</v>
      </c>
      <c r="BF599" cm="1">
        <f t="array" ref="BF599">CORREL(J599:J1599,S599:S1599)</f>
        <v>-0.0334397108021735</v>
      </c>
      <c r="BH599">
        <v>5</v>
      </c>
      <c r="BI599">
        <f t="shared" si="31"/>
        <v>1.2</v>
      </c>
      <c r="BJ599">
        <f t="shared" si="32"/>
        <v>4.16666666666667</v>
      </c>
    </row>
    <row r="600" spans="1:62">
      <c r="A600" s="4" t="s">
        <v>775</v>
      </c>
      <c r="B600">
        <v>22</v>
      </c>
      <c r="C600" t="s">
        <v>73</v>
      </c>
      <c r="D600" t="s">
        <v>60</v>
      </c>
      <c r="E600" t="s">
        <v>61</v>
      </c>
      <c r="F600" t="s">
        <v>75</v>
      </c>
      <c r="G600" t="s">
        <v>74</v>
      </c>
      <c r="H600" t="s">
        <v>214</v>
      </c>
      <c r="I600" t="s">
        <v>89</v>
      </c>
      <c r="J600" s="2">
        <v>210.9</v>
      </c>
      <c r="K600">
        <v>12</v>
      </c>
      <c r="L600" t="s">
        <v>78</v>
      </c>
      <c r="M600">
        <v>2</v>
      </c>
      <c r="N600">
        <v>1</v>
      </c>
      <c r="O600">
        <v>2</v>
      </c>
      <c r="P600" t="s">
        <v>66</v>
      </c>
      <c r="Q600" t="s">
        <v>67</v>
      </c>
      <c r="R600">
        <v>1</v>
      </c>
      <c r="S600">
        <v>1</v>
      </c>
      <c r="T600" t="s">
        <v>66</v>
      </c>
      <c r="U600" t="s">
        <v>68</v>
      </c>
      <c r="V600" t="s">
        <v>91</v>
      </c>
      <c r="W600" s="3">
        <v>45521</v>
      </c>
      <c r="X600" t="b">
        <v>0</v>
      </c>
      <c r="Y600" t="b">
        <v>0</v>
      </c>
      <c r="Z600" t="s">
        <v>92</v>
      </c>
      <c r="AA600" t="s">
        <v>83</v>
      </c>
      <c r="AB600">
        <v>12</v>
      </c>
      <c r="AO600" t="str">
        <f t="shared" si="30"/>
        <v>18-25</v>
      </c>
      <c r="BD600">
        <v>12</v>
      </c>
      <c r="BF600" cm="1">
        <f t="array" ref="BF600">CORREL(J600:J1600,S600:S1600)</f>
        <v>-0.033337338551376</v>
      </c>
      <c r="BH600">
        <v>1</v>
      </c>
      <c r="BI600">
        <f t="shared" si="31"/>
        <v>12</v>
      </c>
      <c r="BJ600">
        <f t="shared" si="32"/>
        <v>0.0833333333333333</v>
      </c>
    </row>
    <row r="601" spans="1:62">
      <c r="A601" s="4" t="s">
        <v>776</v>
      </c>
      <c r="B601">
        <v>18</v>
      </c>
      <c r="C601" t="s">
        <v>59</v>
      </c>
      <c r="D601" t="s">
        <v>60</v>
      </c>
      <c r="E601" t="s">
        <v>103</v>
      </c>
      <c r="F601" t="s">
        <v>75</v>
      </c>
      <c r="G601" t="s">
        <v>74</v>
      </c>
      <c r="H601" t="s">
        <v>777</v>
      </c>
      <c r="I601" t="s">
        <v>77</v>
      </c>
      <c r="J601" s="2">
        <v>218.26</v>
      </c>
      <c r="K601">
        <v>4</v>
      </c>
      <c r="L601" t="s">
        <v>65</v>
      </c>
      <c r="M601">
        <v>3</v>
      </c>
      <c r="N601">
        <v>1</v>
      </c>
      <c r="O601">
        <v>2</v>
      </c>
      <c r="P601" t="s">
        <v>84</v>
      </c>
      <c r="Q601" t="s">
        <v>109</v>
      </c>
      <c r="R601">
        <v>0</v>
      </c>
      <c r="S601">
        <v>8</v>
      </c>
      <c r="T601" t="s">
        <v>74</v>
      </c>
      <c r="U601" t="s">
        <v>90</v>
      </c>
      <c r="V601" t="s">
        <v>91</v>
      </c>
      <c r="W601" s="3">
        <v>45349</v>
      </c>
      <c r="X601" t="b">
        <v>0</v>
      </c>
      <c r="Y601" t="b">
        <v>0</v>
      </c>
      <c r="Z601" t="s">
        <v>82</v>
      </c>
      <c r="AA601" t="s">
        <v>83</v>
      </c>
      <c r="AB601">
        <v>12</v>
      </c>
      <c r="AO601" t="str">
        <f t="shared" si="30"/>
        <v>18-25</v>
      </c>
      <c r="BD601">
        <v>4</v>
      </c>
      <c r="BF601" cm="1">
        <f t="array" ref="BF601">CORREL(J601:J1601,S601:S1601)</f>
        <v>-0.0353910313649982</v>
      </c>
      <c r="BH601">
        <v>8</v>
      </c>
      <c r="BI601">
        <f t="shared" si="31"/>
        <v>0.5</v>
      </c>
      <c r="BJ601">
        <f t="shared" si="32"/>
        <v>16</v>
      </c>
    </row>
    <row r="602" spans="1:62">
      <c r="A602" s="1">
        <v>810144502</v>
      </c>
      <c r="B602">
        <v>24</v>
      </c>
      <c r="C602" t="s">
        <v>59</v>
      </c>
      <c r="D602" t="s">
        <v>60</v>
      </c>
      <c r="E602" t="s">
        <v>98</v>
      </c>
      <c r="F602" t="s">
        <v>87</v>
      </c>
      <c r="G602" t="s">
        <v>60</v>
      </c>
      <c r="H602" t="s">
        <v>778</v>
      </c>
      <c r="I602" t="s">
        <v>120</v>
      </c>
      <c r="J602" s="2">
        <v>424.18</v>
      </c>
      <c r="K602">
        <v>5</v>
      </c>
      <c r="L602" t="s">
        <v>65</v>
      </c>
      <c r="M602">
        <v>4</v>
      </c>
      <c r="N602">
        <v>4</v>
      </c>
      <c r="O602">
        <v>1</v>
      </c>
      <c r="P602" t="s">
        <v>66</v>
      </c>
      <c r="Q602" t="s">
        <v>80</v>
      </c>
      <c r="R602">
        <v>2</v>
      </c>
      <c r="S602">
        <v>4</v>
      </c>
      <c r="T602" t="s">
        <v>79</v>
      </c>
      <c r="U602" t="s">
        <v>90</v>
      </c>
      <c r="V602" t="s">
        <v>91</v>
      </c>
      <c r="W602" s="3">
        <v>45336</v>
      </c>
      <c r="X602" t="b">
        <v>0</v>
      </c>
      <c r="Y602" t="b">
        <v>1</v>
      </c>
      <c r="Z602" t="s">
        <v>70</v>
      </c>
      <c r="AA602" t="s">
        <v>97</v>
      </c>
      <c r="AB602">
        <v>5</v>
      </c>
      <c r="AO602" t="str">
        <f t="shared" si="30"/>
        <v>18-25</v>
      </c>
      <c r="BD602">
        <v>5</v>
      </c>
      <c r="BF602" cm="1">
        <f t="array" ref="BF602">CORREL(J602:J1602,S602:S1602)</f>
        <v>-0.0344370542507</v>
      </c>
      <c r="BH602">
        <v>4</v>
      </c>
      <c r="BI602">
        <f t="shared" si="31"/>
        <v>1.25</v>
      </c>
      <c r="BJ602">
        <f t="shared" si="32"/>
        <v>3.2</v>
      </c>
    </row>
    <row r="603" spans="1:62">
      <c r="A603" s="1">
        <v>651679819</v>
      </c>
      <c r="B603">
        <v>28</v>
      </c>
      <c r="C603" t="s">
        <v>73</v>
      </c>
      <c r="D603" t="s">
        <v>74</v>
      </c>
      <c r="E603" t="s">
        <v>103</v>
      </c>
      <c r="F603" t="s">
        <v>75</v>
      </c>
      <c r="G603" t="s">
        <v>60</v>
      </c>
      <c r="H603" t="s">
        <v>114</v>
      </c>
      <c r="I603" t="s">
        <v>118</v>
      </c>
      <c r="J603" s="2">
        <v>430.75</v>
      </c>
      <c r="K603">
        <v>11</v>
      </c>
      <c r="L603" t="s">
        <v>85</v>
      </c>
      <c r="M603">
        <v>1</v>
      </c>
      <c r="N603">
        <v>3</v>
      </c>
      <c r="O603">
        <v>1</v>
      </c>
      <c r="P603" t="s">
        <v>84</v>
      </c>
      <c r="Q603" t="s">
        <v>67</v>
      </c>
      <c r="R603">
        <v>0</v>
      </c>
      <c r="S603">
        <v>8</v>
      </c>
      <c r="T603" t="s">
        <v>74</v>
      </c>
      <c r="U603" t="s">
        <v>68</v>
      </c>
      <c r="V603" t="s">
        <v>69</v>
      </c>
      <c r="W603" s="3">
        <v>45467</v>
      </c>
      <c r="X603" t="b">
        <v>1</v>
      </c>
      <c r="Y603" t="b">
        <v>0</v>
      </c>
      <c r="Z603" t="s">
        <v>102</v>
      </c>
      <c r="AA603" t="s">
        <v>71</v>
      </c>
      <c r="AB603">
        <v>6</v>
      </c>
      <c r="AO603" t="str">
        <f t="shared" si="30"/>
        <v>26-40</v>
      </c>
      <c r="BD603">
        <v>11</v>
      </c>
      <c r="BF603" cm="1">
        <f t="array" ref="BF603">CORREL(J603:J1603,S603:S1603)</f>
        <v>-0.0330942637371307</v>
      </c>
      <c r="BH603">
        <v>8</v>
      </c>
      <c r="BI603">
        <f t="shared" si="31"/>
        <v>1.375</v>
      </c>
      <c r="BJ603">
        <f t="shared" si="32"/>
        <v>5.81818181818182</v>
      </c>
    </row>
    <row r="604" spans="1:62">
      <c r="A604" s="1">
        <v>199252376</v>
      </c>
      <c r="B604">
        <v>24</v>
      </c>
      <c r="C604" t="s">
        <v>73</v>
      </c>
      <c r="D604" t="s">
        <v>74</v>
      </c>
      <c r="E604" t="s">
        <v>86</v>
      </c>
      <c r="F604" t="s">
        <v>62</v>
      </c>
      <c r="G604" t="s">
        <v>60</v>
      </c>
      <c r="H604" t="s">
        <v>779</v>
      </c>
      <c r="I604" t="s">
        <v>115</v>
      </c>
      <c r="J604" s="2">
        <v>162.95</v>
      </c>
      <c r="K604">
        <v>11</v>
      </c>
      <c r="L604" t="s">
        <v>78</v>
      </c>
      <c r="M604">
        <v>1</v>
      </c>
      <c r="N604">
        <v>2</v>
      </c>
      <c r="O604">
        <v>2</v>
      </c>
      <c r="P604" t="s">
        <v>74</v>
      </c>
      <c r="Q604" t="s">
        <v>109</v>
      </c>
      <c r="R604">
        <v>1</v>
      </c>
      <c r="S604">
        <v>8</v>
      </c>
      <c r="T604" t="s">
        <v>84</v>
      </c>
      <c r="U604" t="s">
        <v>105</v>
      </c>
      <c r="V604" t="s">
        <v>110</v>
      </c>
      <c r="W604" s="3">
        <v>45494</v>
      </c>
      <c r="X604" t="b">
        <v>0</v>
      </c>
      <c r="Y604" t="b">
        <v>1</v>
      </c>
      <c r="Z604" t="s">
        <v>92</v>
      </c>
      <c r="AA604" t="s">
        <v>97</v>
      </c>
      <c r="AB604">
        <v>14</v>
      </c>
      <c r="AO604" t="str">
        <f t="shared" ref="AO604:AO667" si="33">IF(B604&lt;=25,"18-25",IF(B604&lt;=40,"26-40",IF(B604&lt;=60,"41-60","Above60")))</f>
        <v>18-25</v>
      </c>
      <c r="BD604">
        <v>11</v>
      </c>
      <c r="BF604" cm="1">
        <f t="array" ref="BF604">CORREL(J604:J1604,S604:S1604)</f>
        <v>-0.0358132864200356</v>
      </c>
      <c r="BH604">
        <v>8</v>
      </c>
      <c r="BI604">
        <f t="shared" si="31"/>
        <v>1.375</v>
      </c>
      <c r="BJ604">
        <f t="shared" si="32"/>
        <v>5.81818181818182</v>
      </c>
    </row>
    <row r="605" spans="1:62">
      <c r="A605" s="4" t="s">
        <v>780</v>
      </c>
      <c r="B605">
        <v>40</v>
      </c>
      <c r="C605" t="s">
        <v>59</v>
      </c>
      <c r="D605" t="s">
        <v>60</v>
      </c>
      <c r="E605" t="s">
        <v>61</v>
      </c>
      <c r="F605" t="s">
        <v>87</v>
      </c>
      <c r="G605" t="s">
        <v>74</v>
      </c>
      <c r="H605" t="s">
        <v>781</v>
      </c>
      <c r="I605" t="s">
        <v>147</v>
      </c>
      <c r="J605" s="2">
        <v>209.68</v>
      </c>
      <c r="K605">
        <v>2</v>
      </c>
      <c r="L605" t="s">
        <v>85</v>
      </c>
      <c r="M605">
        <v>3</v>
      </c>
      <c r="N605">
        <v>1</v>
      </c>
      <c r="O605">
        <v>1</v>
      </c>
      <c r="P605" t="s">
        <v>66</v>
      </c>
      <c r="Q605" t="s">
        <v>80</v>
      </c>
      <c r="R605">
        <v>0</v>
      </c>
      <c r="S605">
        <v>1</v>
      </c>
      <c r="T605" t="s">
        <v>79</v>
      </c>
      <c r="U605" t="s">
        <v>90</v>
      </c>
      <c r="V605" t="s">
        <v>96</v>
      </c>
      <c r="W605" s="3">
        <v>45473</v>
      </c>
      <c r="X605" t="b">
        <v>0</v>
      </c>
      <c r="Y605" t="b">
        <v>1</v>
      </c>
      <c r="Z605" t="s">
        <v>92</v>
      </c>
      <c r="AA605" t="s">
        <v>97</v>
      </c>
      <c r="AB605">
        <v>8</v>
      </c>
      <c r="AO605" t="str">
        <f t="shared" si="33"/>
        <v>26-40</v>
      </c>
      <c r="BD605">
        <v>2</v>
      </c>
      <c r="BF605" cm="1">
        <f t="array" ref="BF605">CORREL(J605:J1605,S605:S1605)</f>
        <v>-0.0339356254041236</v>
      </c>
      <c r="BH605">
        <v>1</v>
      </c>
      <c r="BI605">
        <f t="shared" si="31"/>
        <v>2</v>
      </c>
      <c r="BJ605">
        <f t="shared" si="32"/>
        <v>0.5</v>
      </c>
    </row>
    <row r="606" spans="1:62">
      <c r="A606" s="4" t="s">
        <v>782</v>
      </c>
      <c r="B606">
        <v>50</v>
      </c>
      <c r="C606" t="s">
        <v>73</v>
      </c>
      <c r="D606" t="s">
        <v>74</v>
      </c>
      <c r="E606" t="s">
        <v>98</v>
      </c>
      <c r="F606" t="s">
        <v>62</v>
      </c>
      <c r="G606" t="s">
        <v>60</v>
      </c>
      <c r="H606" t="s">
        <v>783</v>
      </c>
      <c r="I606" t="s">
        <v>174</v>
      </c>
      <c r="J606" s="2">
        <v>97.97</v>
      </c>
      <c r="K606">
        <v>2</v>
      </c>
      <c r="L606" t="s">
        <v>78</v>
      </c>
      <c r="M606">
        <v>5</v>
      </c>
      <c r="N606">
        <v>5</v>
      </c>
      <c r="O606">
        <v>1</v>
      </c>
      <c r="P606" t="s">
        <v>84</v>
      </c>
      <c r="Q606" t="s">
        <v>67</v>
      </c>
      <c r="R606">
        <v>0</v>
      </c>
      <c r="S606">
        <v>10</v>
      </c>
      <c r="T606" t="s">
        <v>66</v>
      </c>
      <c r="U606" t="s">
        <v>105</v>
      </c>
      <c r="V606" t="s">
        <v>69</v>
      </c>
      <c r="W606" s="3">
        <v>45568</v>
      </c>
      <c r="X606" t="b">
        <v>1</v>
      </c>
      <c r="Y606" t="b">
        <v>0</v>
      </c>
      <c r="Z606" t="s">
        <v>102</v>
      </c>
      <c r="AA606" t="s">
        <v>71</v>
      </c>
      <c r="AB606">
        <v>1</v>
      </c>
      <c r="AO606" t="str">
        <f t="shared" si="33"/>
        <v>41-60</v>
      </c>
      <c r="BD606">
        <v>2</v>
      </c>
      <c r="BF606" cm="1">
        <f t="array" ref="BF606">CORREL(J606:J1606,S606:S1606)</f>
        <v>-0.0360443237623082</v>
      </c>
      <c r="BH606">
        <v>10</v>
      </c>
      <c r="BI606">
        <f t="shared" si="31"/>
        <v>0.2</v>
      </c>
      <c r="BJ606">
        <f t="shared" si="32"/>
        <v>50</v>
      </c>
    </row>
    <row r="607" spans="1:62">
      <c r="A607" s="1">
        <v>627011037</v>
      </c>
      <c r="B607">
        <v>49</v>
      </c>
      <c r="C607" t="s">
        <v>73</v>
      </c>
      <c r="D607" t="s">
        <v>60</v>
      </c>
      <c r="E607" t="s">
        <v>98</v>
      </c>
      <c r="F607" t="s">
        <v>87</v>
      </c>
      <c r="G607" t="s">
        <v>74</v>
      </c>
      <c r="H607" t="s">
        <v>784</v>
      </c>
      <c r="I607" t="s">
        <v>107</v>
      </c>
      <c r="J607" s="2">
        <v>192.51</v>
      </c>
      <c r="K607">
        <v>9</v>
      </c>
      <c r="L607" t="s">
        <v>65</v>
      </c>
      <c r="M607">
        <v>2</v>
      </c>
      <c r="N607">
        <v>5</v>
      </c>
      <c r="O607">
        <v>2</v>
      </c>
      <c r="P607" t="s">
        <v>79</v>
      </c>
      <c r="Q607" t="s">
        <v>109</v>
      </c>
      <c r="R607">
        <v>0</v>
      </c>
      <c r="S607">
        <v>2</v>
      </c>
      <c r="T607" t="s">
        <v>79</v>
      </c>
      <c r="U607" t="s">
        <v>90</v>
      </c>
      <c r="V607" t="s">
        <v>69</v>
      </c>
      <c r="W607" s="3">
        <v>45527</v>
      </c>
      <c r="X607" t="b">
        <v>1</v>
      </c>
      <c r="Y607" t="b">
        <v>0</v>
      </c>
      <c r="Z607" t="s">
        <v>70</v>
      </c>
      <c r="AA607" t="s">
        <v>83</v>
      </c>
      <c r="AB607">
        <v>9</v>
      </c>
      <c r="AO607" t="str">
        <f t="shared" si="33"/>
        <v>41-60</v>
      </c>
      <c r="BD607">
        <v>9</v>
      </c>
      <c r="BF607" cm="1">
        <f t="array" ref="BF607">CORREL(J607:J1607,S607:S1607)</f>
        <v>-0.0307383586170517</v>
      </c>
      <c r="BH607">
        <v>2</v>
      </c>
      <c r="BI607">
        <f t="shared" si="31"/>
        <v>4.5</v>
      </c>
      <c r="BJ607">
        <f t="shared" si="32"/>
        <v>0.444444444444444</v>
      </c>
    </row>
    <row r="608" spans="1:62">
      <c r="A608" s="1">
        <v>878064478</v>
      </c>
      <c r="B608">
        <v>35</v>
      </c>
      <c r="C608" t="s">
        <v>73</v>
      </c>
      <c r="D608" t="s">
        <v>60</v>
      </c>
      <c r="E608" t="s">
        <v>98</v>
      </c>
      <c r="F608" t="s">
        <v>87</v>
      </c>
      <c r="G608" t="s">
        <v>60</v>
      </c>
      <c r="H608" t="s">
        <v>770</v>
      </c>
      <c r="I608" t="s">
        <v>131</v>
      </c>
      <c r="J608" s="2">
        <v>151.81</v>
      </c>
      <c r="K608">
        <v>8</v>
      </c>
      <c r="L608" t="s">
        <v>85</v>
      </c>
      <c r="M608">
        <v>3</v>
      </c>
      <c r="N608">
        <v>4</v>
      </c>
      <c r="O608">
        <v>0</v>
      </c>
      <c r="P608" t="s">
        <v>79</v>
      </c>
      <c r="Q608" t="s">
        <v>80</v>
      </c>
      <c r="R608">
        <v>1</v>
      </c>
      <c r="S608">
        <v>10</v>
      </c>
      <c r="T608" t="s">
        <v>66</v>
      </c>
      <c r="U608" t="s">
        <v>68</v>
      </c>
      <c r="V608" t="s">
        <v>91</v>
      </c>
      <c r="W608" s="3">
        <v>45304</v>
      </c>
      <c r="X608" t="b">
        <v>0</v>
      </c>
      <c r="Y608" t="b">
        <v>0</v>
      </c>
      <c r="Z608" t="s">
        <v>102</v>
      </c>
      <c r="AA608" t="s">
        <v>71</v>
      </c>
      <c r="AB608">
        <v>1</v>
      </c>
      <c r="AO608" t="str">
        <f t="shared" si="33"/>
        <v>26-40</v>
      </c>
      <c r="BD608">
        <v>8</v>
      </c>
      <c r="BF608" cm="1">
        <f t="array" ref="BF608">CORREL(J608:J1608,S608:S1608)</f>
        <v>-0.0327794953134063</v>
      </c>
      <c r="BH608">
        <v>10</v>
      </c>
      <c r="BI608">
        <f t="shared" si="31"/>
        <v>0.8</v>
      </c>
      <c r="BJ608">
        <f t="shared" si="32"/>
        <v>12.5</v>
      </c>
    </row>
    <row r="609" spans="1:62">
      <c r="A609" s="4" t="s">
        <v>785</v>
      </c>
      <c r="B609">
        <v>25</v>
      </c>
      <c r="C609" t="s">
        <v>59</v>
      </c>
      <c r="D609" t="s">
        <v>74</v>
      </c>
      <c r="E609" t="s">
        <v>61</v>
      </c>
      <c r="F609" t="s">
        <v>75</v>
      </c>
      <c r="G609" t="s">
        <v>60</v>
      </c>
      <c r="H609" t="s">
        <v>786</v>
      </c>
      <c r="I609" t="s">
        <v>100</v>
      </c>
      <c r="J609" s="2">
        <v>239.28</v>
      </c>
      <c r="K609">
        <v>8</v>
      </c>
      <c r="L609" t="s">
        <v>85</v>
      </c>
      <c r="M609">
        <v>1</v>
      </c>
      <c r="N609">
        <v>4</v>
      </c>
      <c r="O609">
        <v>1</v>
      </c>
      <c r="P609" t="s">
        <v>79</v>
      </c>
      <c r="Q609" t="s">
        <v>67</v>
      </c>
      <c r="R609">
        <v>2</v>
      </c>
      <c r="S609">
        <v>5</v>
      </c>
      <c r="T609" t="s">
        <v>79</v>
      </c>
      <c r="U609" t="s">
        <v>68</v>
      </c>
      <c r="V609" t="s">
        <v>96</v>
      </c>
      <c r="W609" s="3">
        <v>45604</v>
      </c>
      <c r="X609" t="b">
        <v>0</v>
      </c>
      <c r="Y609" t="b">
        <v>1</v>
      </c>
      <c r="Z609" t="s">
        <v>92</v>
      </c>
      <c r="AA609" t="s">
        <v>71</v>
      </c>
      <c r="AB609">
        <v>10</v>
      </c>
      <c r="AO609" t="str">
        <f t="shared" si="33"/>
        <v>18-25</v>
      </c>
      <c r="BD609">
        <v>8</v>
      </c>
      <c r="BF609" cm="1">
        <f t="array" ref="BF609">CORREL(J609:J1609,S609:S1609)</f>
        <v>-0.029026100863847</v>
      </c>
      <c r="BH609">
        <v>5</v>
      </c>
      <c r="BI609">
        <f t="shared" si="31"/>
        <v>1.6</v>
      </c>
      <c r="BJ609">
        <f t="shared" si="32"/>
        <v>3.125</v>
      </c>
    </row>
    <row r="610" spans="1:62">
      <c r="A610" s="1">
        <v>398671989</v>
      </c>
      <c r="B610">
        <v>40</v>
      </c>
      <c r="C610" t="s">
        <v>59</v>
      </c>
      <c r="D610" t="s">
        <v>74</v>
      </c>
      <c r="E610" t="s">
        <v>98</v>
      </c>
      <c r="F610" t="s">
        <v>75</v>
      </c>
      <c r="G610" t="s">
        <v>74</v>
      </c>
      <c r="H610" t="s">
        <v>787</v>
      </c>
      <c r="I610" t="s">
        <v>115</v>
      </c>
      <c r="J610" s="2">
        <v>306.17</v>
      </c>
      <c r="K610">
        <v>4</v>
      </c>
      <c r="L610" t="s">
        <v>78</v>
      </c>
      <c r="M610">
        <v>3</v>
      </c>
      <c r="N610">
        <v>5</v>
      </c>
      <c r="O610">
        <v>1</v>
      </c>
      <c r="P610" t="s">
        <v>79</v>
      </c>
      <c r="Q610" t="s">
        <v>67</v>
      </c>
      <c r="R610">
        <v>0</v>
      </c>
      <c r="S610">
        <v>6</v>
      </c>
      <c r="T610" t="s">
        <v>79</v>
      </c>
      <c r="U610" t="s">
        <v>68</v>
      </c>
      <c r="V610" t="s">
        <v>81</v>
      </c>
      <c r="W610" s="3">
        <v>45320</v>
      </c>
      <c r="X610" t="b">
        <v>0</v>
      </c>
      <c r="Y610" t="b">
        <v>1</v>
      </c>
      <c r="Z610" t="s">
        <v>82</v>
      </c>
      <c r="AA610" t="s">
        <v>97</v>
      </c>
      <c r="AB610">
        <v>8</v>
      </c>
      <c r="AO610" t="str">
        <f t="shared" si="33"/>
        <v>26-40</v>
      </c>
      <c r="BD610">
        <v>4</v>
      </c>
      <c r="BF610" cm="1">
        <f t="array" ref="BF610">CORREL(J610:J1610,S610:S1610)</f>
        <v>-0.0291415727830814</v>
      </c>
      <c r="BH610">
        <v>6</v>
      </c>
      <c r="BI610">
        <f t="shared" si="31"/>
        <v>0.666666666666667</v>
      </c>
      <c r="BJ610">
        <f t="shared" si="32"/>
        <v>9</v>
      </c>
    </row>
    <row r="611" spans="1:62">
      <c r="A611" s="1">
        <v>455847333</v>
      </c>
      <c r="B611">
        <v>40</v>
      </c>
      <c r="C611" t="s">
        <v>59</v>
      </c>
      <c r="D611" t="s">
        <v>74</v>
      </c>
      <c r="E611" t="s">
        <v>98</v>
      </c>
      <c r="F611" t="s">
        <v>87</v>
      </c>
      <c r="G611" t="s">
        <v>74</v>
      </c>
      <c r="H611" t="s">
        <v>788</v>
      </c>
      <c r="I611" t="s">
        <v>131</v>
      </c>
      <c r="J611" s="2">
        <v>370.38</v>
      </c>
      <c r="K611">
        <v>11</v>
      </c>
      <c r="L611" t="s">
        <v>78</v>
      </c>
      <c r="M611">
        <v>1</v>
      </c>
      <c r="N611">
        <v>2</v>
      </c>
      <c r="O611">
        <v>1</v>
      </c>
      <c r="P611" t="s">
        <v>66</v>
      </c>
      <c r="Q611" t="s">
        <v>80</v>
      </c>
      <c r="R611">
        <v>1</v>
      </c>
      <c r="S611">
        <v>1</v>
      </c>
      <c r="T611" t="s">
        <v>74</v>
      </c>
      <c r="U611" t="s">
        <v>105</v>
      </c>
      <c r="V611" t="s">
        <v>96</v>
      </c>
      <c r="W611" s="3">
        <v>45355</v>
      </c>
      <c r="X611" t="b">
        <v>1</v>
      </c>
      <c r="Y611" t="b">
        <v>1</v>
      </c>
      <c r="Z611" t="s">
        <v>82</v>
      </c>
      <c r="AA611" t="s">
        <v>71</v>
      </c>
      <c r="AB611">
        <v>9</v>
      </c>
      <c r="AO611" t="str">
        <f t="shared" si="33"/>
        <v>26-40</v>
      </c>
      <c r="BD611">
        <v>11</v>
      </c>
      <c r="BF611" cm="1">
        <f t="array" ref="BF611">CORREL(J611:J1611,S611:S1611)</f>
        <v>-0.0292547316484129</v>
      </c>
      <c r="BH611">
        <v>1</v>
      </c>
      <c r="BI611">
        <f t="shared" si="31"/>
        <v>11</v>
      </c>
      <c r="BJ611">
        <f t="shared" si="32"/>
        <v>0.0909090909090909</v>
      </c>
    </row>
    <row r="612" spans="1:62">
      <c r="A612" s="1">
        <v>858856579</v>
      </c>
      <c r="B612">
        <v>50</v>
      </c>
      <c r="C612" t="s">
        <v>73</v>
      </c>
      <c r="D612" t="s">
        <v>60</v>
      </c>
      <c r="E612" t="s">
        <v>86</v>
      </c>
      <c r="F612" t="s">
        <v>62</v>
      </c>
      <c r="G612" t="s">
        <v>60</v>
      </c>
      <c r="H612" t="s">
        <v>789</v>
      </c>
      <c r="I612" t="s">
        <v>143</v>
      </c>
      <c r="J612" s="2">
        <v>346.58</v>
      </c>
      <c r="K612">
        <v>6</v>
      </c>
      <c r="L612" t="s">
        <v>65</v>
      </c>
      <c r="M612">
        <v>5</v>
      </c>
      <c r="N612">
        <v>1</v>
      </c>
      <c r="O612">
        <v>1</v>
      </c>
      <c r="P612" t="s">
        <v>74</v>
      </c>
      <c r="Q612" t="s">
        <v>67</v>
      </c>
      <c r="R612">
        <v>0</v>
      </c>
      <c r="S612">
        <v>9</v>
      </c>
      <c r="T612" t="s">
        <v>84</v>
      </c>
      <c r="U612" t="s">
        <v>68</v>
      </c>
      <c r="V612" t="s">
        <v>96</v>
      </c>
      <c r="W612" s="3">
        <v>45446</v>
      </c>
      <c r="X612" t="b">
        <v>0</v>
      </c>
      <c r="Y612" t="b">
        <v>0</v>
      </c>
      <c r="Z612" t="s">
        <v>92</v>
      </c>
      <c r="AA612" t="s">
        <v>97</v>
      </c>
      <c r="AB612">
        <v>7</v>
      </c>
      <c r="AO612" t="str">
        <f t="shared" si="33"/>
        <v>41-60</v>
      </c>
      <c r="BD612">
        <v>6</v>
      </c>
      <c r="BF612" cm="1">
        <f t="array" ref="BF612">CORREL(J612:J1612,S612:S1612)</f>
        <v>-0.0265737223998387</v>
      </c>
      <c r="BH612">
        <v>9</v>
      </c>
      <c r="BI612">
        <f t="shared" si="31"/>
        <v>0.666666666666667</v>
      </c>
      <c r="BJ612">
        <f t="shared" si="32"/>
        <v>13.5</v>
      </c>
    </row>
    <row r="613" spans="1:62">
      <c r="A613" s="1">
        <v>654572840</v>
      </c>
      <c r="B613">
        <v>24</v>
      </c>
      <c r="C613" t="s">
        <v>73</v>
      </c>
      <c r="D613" t="s">
        <v>60</v>
      </c>
      <c r="E613" t="s">
        <v>86</v>
      </c>
      <c r="F613" t="s">
        <v>75</v>
      </c>
      <c r="G613" t="s">
        <v>60</v>
      </c>
      <c r="H613" t="s">
        <v>790</v>
      </c>
      <c r="I613" t="s">
        <v>133</v>
      </c>
      <c r="J613" s="2">
        <v>292.64</v>
      </c>
      <c r="K613">
        <v>5</v>
      </c>
      <c r="L613" t="s">
        <v>78</v>
      </c>
      <c r="M613">
        <v>1</v>
      </c>
      <c r="N613">
        <v>1</v>
      </c>
      <c r="O613">
        <v>1</v>
      </c>
      <c r="P613" t="s">
        <v>66</v>
      </c>
      <c r="Q613" t="s">
        <v>67</v>
      </c>
      <c r="R613">
        <v>2</v>
      </c>
      <c r="S613">
        <v>10</v>
      </c>
      <c r="T613" t="s">
        <v>79</v>
      </c>
      <c r="U613" t="s">
        <v>68</v>
      </c>
      <c r="V613" t="s">
        <v>69</v>
      </c>
      <c r="W613" s="3">
        <v>45632</v>
      </c>
      <c r="X613" t="b">
        <v>1</v>
      </c>
      <c r="Y613" t="b">
        <v>0</v>
      </c>
      <c r="Z613" t="s">
        <v>82</v>
      </c>
      <c r="AA613" t="s">
        <v>83</v>
      </c>
      <c r="AB613">
        <v>1</v>
      </c>
      <c r="AO613" t="str">
        <f t="shared" si="33"/>
        <v>18-25</v>
      </c>
      <c r="BD613">
        <v>5</v>
      </c>
      <c r="BF613" cm="1">
        <f t="array" ref="BF613">CORREL(J613:J1613,S613:S1613)</f>
        <v>-0.0283171737091904</v>
      </c>
      <c r="BH613">
        <v>10</v>
      </c>
      <c r="BI613">
        <f t="shared" si="31"/>
        <v>0.5</v>
      </c>
      <c r="BJ613">
        <f t="shared" si="32"/>
        <v>20</v>
      </c>
    </row>
    <row r="614" spans="1:62">
      <c r="A614" s="1">
        <v>827261255</v>
      </c>
      <c r="B614">
        <v>30</v>
      </c>
      <c r="C614" t="s">
        <v>59</v>
      </c>
      <c r="D614" t="s">
        <v>60</v>
      </c>
      <c r="E614" t="s">
        <v>61</v>
      </c>
      <c r="F614" t="s">
        <v>62</v>
      </c>
      <c r="G614" t="s">
        <v>74</v>
      </c>
      <c r="H614" t="s">
        <v>791</v>
      </c>
      <c r="I614" t="s">
        <v>178</v>
      </c>
      <c r="J614" s="2">
        <v>102.91</v>
      </c>
      <c r="K614">
        <v>12</v>
      </c>
      <c r="L614" t="s">
        <v>65</v>
      </c>
      <c r="M614">
        <v>2</v>
      </c>
      <c r="N614">
        <v>1</v>
      </c>
      <c r="O614">
        <v>1</v>
      </c>
      <c r="P614" t="s">
        <v>79</v>
      </c>
      <c r="Q614" t="s">
        <v>109</v>
      </c>
      <c r="R614">
        <v>1</v>
      </c>
      <c r="S614">
        <v>10</v>
      </c>
      <c r="T614" t="s">
        <v>66</v>
      </c>
      <c r="U614" t="s">
        <v>105</v>
      </c>
      <c r="V614" t="s">
        <v>81</v>
      </c>
      <c r="W614" s="3">
        <v>45377</v>
      </c>
      <c r="X614" t="b">
        <v>1</v>
      </c>
      <c r="Y614" t="b">
        <v>0</v>
      </c>
      <c r="Z614" t="s">
        <v>92</v>
      </c>
      <c r="AA614" t="s">
        <v>97</v>
      </c>
      <c r="AB614">
        <v>13</v>
      </c>
      <c r="AO614" t="str">
        <f t="shared" si="33"/>
        <v>26-40</v>
      </c>
      <c r="BD614">
        <v>12</v>
      </c>
      <c r="BF614" cm="1">
        <f t="array" ref="BF614">CORREL(J614:J1614,S614:S1614)</f>
        <v>-0.0288893484498372</v>
      </c>
      <c r="BH614">
        <v>10</v>
      </c>
      <c r="BI614">
        <f t="shared" si="31"/>
        <v>1.2</v>
      </c>
      <c r="BJ614">
        <f t="shared" si="32"/>
        <v>8.33333333333333</v>
      </c>
    </row>
    <row r="615" spans="1:62">
      <c r="A615" s="1">
        <v>906023583</v>
      </c>
      <c r="B615">
        <v>32</v>
      </c>
      <c r="C615" t="s">
        <v>59</v>
      </c>
      <c r="D615" t="s">
        <v>74</v>
      </c>
      <c r="E615" t="s">
        <v>98</v>
      </c>
      <c r="F615" t="s">
        <v>62</v>
      </c>
      <c r="G615" t="s">
        <v>60</v>
      </c>
      <c r="H615" t="s">
        <v>792</v>
      </c>
      <c r="I615" t="s">
        <v>95</v>
      </c>
      <c r="J615" s="2">
        <v>283.78</v>
      </c>
      <c r="K615">
        <v>4</v>
      </c>
      <c r="L615" t="s">
        <v>65</v>
      </c>
      <c r="M615">
        <v>2</v>
      </c>
      <c r="N615">
        <v>4</v>
      </c>
      <c r="O615">
        <v>1.2</v>
      </c>
      <c r="P615" t="s">
        <v>66</v>
      </c>
      <c r="Q615" t="s">
        <v>67</v>
      </c>
      <c r="R615">
        <v>0</v>
      </c>
      <c r="S615">
        <v>6</v>
      </c>
      <c r="T615" t="s">
        <v>66</v>
      </c>
      <c r="U615" t="s">
        <v>90</v>
      </c>
      <c r="V615" t="s">
        <v>91</v>
      </c>
      <c r="W615" s="3">
        <v>45513</v>
      </c>
      <c r="X615" t="b">
        <v>1</v>
      </c>
      <c r="Y615" t="b">
        <v>0</v>
      </c>
      <c r="Z615" t="s">
        <v>70</v>
      </c>
      <c r="AA615" t="s">
        <v>97</v>
      </c>
      <c r="AB615">
        <v>10</v>
      </c>
      <c r="AO615" t="str">
        <f t="shared" si="33"/>
        <v>26-40</v>
      </c>
      <c r="BD615">
        <v>4</v>
      </c>
      <c r="BF615" cm="1">
        <f t="array" ref="BF615">CORREL(J615:J1615,S615:S1615)</f>
        <v>-0.0235288384496138</v>
      </c>
      <c r="BH615">
        <v>6</v>
      </c>
      <c r="BI615">
        <f t="shared" si="31"/>
        <v>0.666666666666667</v>
      </c>
      <c r="BJ615">
        <f t="shared" si="32"/>
        <v>9</v>
      </c>
    </row>
    <row r="616" spans="1:62">
      <c r="A616" s="4" t="s">
        <v>793</v>
      </c>
      <c r="B616">
        <v>48</v>
      </c>
      <c r="C616" t="s">
        <v>59</v>
      </c>
      <c r="D616" t="s">
        <v>74</v>
      </c>
      <c r="E616" t="s">
        <v>98</v>
      </c>
      <c r="F616" t="s">
        <v>75</v>
      </c>
      <c r="G616" t="s">
        <v>60</v>
      </c>
      <c r="H616" t="s">
        <v>794</v>
      </c>
      <c r="I616" t="s">
        <v>174</v>
      </c>
      <c r="J616" s="2">
        <v>51.44</v>
      </c>
      <c r="K616">
        <v>2</v>
      </c>
      <c r="L616" t="s">
        <v>78</v>
      </c>
      <c r="M616">
        <v>1</v>
      </c>
      <c r="N616">
        <v>3</v>
      </c>
      <c r="O616">
        <v>2</v>
      </c>
      <c r="P616" t="s">
        <v>74</v>
      </c>
      <c r="Q616" t="s">
        <v>80</v>
      </c>
      <c r="R616">
        <v>0</v>
      </c>
      <c r="S616">
        <v>1</v>
      </c>
      <c r="T616" t="s">
        <v>74</v>
      </c>
      <c r="U616" t="s">
        <v>68</v>
      </c>
      <c r="V616" t="s">
        <v>96</v>
      </c>
      <c r="W616" s="3">
        <v>45429</v>
      </c>
      <c r="X616" t="b">
        <v>1</v>
      </c>
      <c r="Y616" t="b">
        <v>0</v>
      </c>
      <c r="Z616" t="s">
        <v>102</v>
      </c>
      <c r="AA616" t="s">
        <v>71</v>
      </c>
      <c r="AB616">
        <v>5</v>
      </c>
      <c r="AO616" t="str">
        <f t="shared" si="33"/>
        <v>41-60</v>
      </c>
      <c r="BD616">
        <v>2</v>
      </c>
      <c r="BF616" cm="1">
        <f t="array" ref="BF616">CORREL(J616:J1616,S616:S1616)</f>
        <v>-0.0235544401145358</v>
      </c>
      <c r="BH616">
        <v>1</v>
      </c>
      <c r="BI616">
        <f t="shared" si="31"/>
        <v>2</v>
      </c>
      <c r="BJ616">
        <f t="shared" si="32"/>
        <v>0.5</v>
      </c>
    </row>
    <row r="617" spans="1:62">
      <c r="A617" s="1">
        <v>273477437</v>
      </c>
      <c r="B617">
        <v>44</v>
      </c>
      <c r="C617" t="s">
        <v>59</v>
      </c>
      <c r="D617" t="s">
        <v>74</v>
      </c>
      <c r="E617" t="s">
        <v>61</v>
      </c>
      <c r="F617" t="s">
        <v>62</v>
      </c>
      <c r="G617" t="s">
        <v>74</v>
      </c>
      <c r="H617" t="s">
        <v>795</v>
      </c>
      <c r="I617" t="s">
        <v>118</v>
      </c>
      <c r="J617" s="2">
        <v>405.7</v>
      </c>
      <c r="K617">
        <v>12</v>
      </c>
      <c r="L617" t="s">
        <v>85</v>
      </c>
      <c r="M617">
        <v>1</v>
      </c>
      <c r="N617">
        <v>3</v>
      </c>
      <c r="O617">
        <v>1</v>
      </c>
      <c r="P617" t="s">
        <v>84</v>
      </c>
      <c r="Q617" t="s">
        <v>109</v>
      </c>
      <c r="R617">
        <v>2</v>
      </c>
      <c r="S617">
        <v>10</v>
      </c>
      <c r="T617" t="s">
        <v>84</v>
      </c>
      <c r="U617" t="s">
        <v>68</v>
      </c>
      <c r="V617" t="s">
        <v>69</v>
      </c>
      <c r="W617" s="3">
        <v>45339</v>
      </c>
      <c r="X617" t="b">
        <v>1</v>
      </c>
      <c r="Y617" t="b">
        <v>1</v>
      </c>
      <c r="Z617" t="s">
        <v>82</v>
      </c>
      <c r="AA617" t="s">
        <v>83</v>
      </c>
      <c r="AB617">
        <v>14</v>
      </c>
      <c r="AO617" t="str">
        <f t="shared" si="33"/>
        <v>41-60</v>
      </c>
      <c r="BD617">
        <v>12</v>
      </c>
      <c r="BF617" cm="1">
        <f t="array" ref="BF617">CORREL(J617:J1617,S617:S1617)</f>
        <v>-0.0306464068995047</v>
      </c>
      <c r="BH617">
        <v>10</v>
      </c>
      <c r="BI617">
        <f t="shared" si="31"/>
        <v>1.2</v>
      </c>
      <c r="BJ617">
        <f t="shared" si="32"/>
        <v>8.33333333333333</v>
      </c>
    </row>
    <row r="618" spans="1:62">
      <c r="A618" s="1">
        <v>956757816</v>
      </c>
      <c r="B618">
        <v>19</v>
      </c>
      <c r="C618" t="s">
        <v>59</v>
      </c>
      <c r="D618" t="s">
        <v>74</v>
      </c>
      <c r="E618" t="s">
        <v>98</v>
      </c>
      <c r="F618" t="s">
        <v>87</v>
      </c>
      <c r="G618" t="s">
        <v>60</v>
      </c>
      <c r="H618" t="s">
        <v>796</v>
      </c>
      <c r="I618" t="s">
        <v>156</v>
      </c>
      <c r="J618" s="2">
        <v>311.74</v>
      </c>
      <c r="K618">
        <v>11</v>
      </c>
      <c r="L618" t="s">
        <v>65</v>
      </c>
      <c r="M618">
        <v>1</v>
      </c>
      <c r="N618">
        <v>4</v>
      </c>
      <c r="O618">
        <v>2</v>
      </c>
      <c r="P618" t="s">
        <v>84</v>
      </c>
      <c r="Q618" t="s">
        <v>67</v>
      </c>
      <c r="R618">
        <v>2</v>
      </c>
      <c r="S618">
        <v>10</v>
      </c>
      <c r="T618" t="s">
        <v>79</v>
      </c>
      <c r="U618" t="s">
        <v>90</v>
      </c>
      <c r="V618" t="s">
        <v>81</v>
      </c>
      <c r="W618" s="3">
        <v>45308</v>
      </c>
      <c r="X618" t="b">
        <v>1</v>
      </c>
      <c r="Y618" t="b">
        <v>0</v>
      </c>
      <c r="Z618" t="s">
        <v>92</v>
      </c>
      <c r="AA618" t="s">
        <v>97</v>
      </c>
      <c r="AB618">
        <v>11</v>
      </c>
      <c r="AO618" t="str">
        <f t="shared" si="33"/>
        <v>18-25</v>
      </c>
      <c r="BD618">
        <v>11</v>
      </c>
      <c r="BF618" cm="1">
        <f t="array" ref="BF618">CORREL(J618:J1618,S618:S1618)</f>
        <v>-0.0348650419697989</v>
      </c>
      <c r="BH618">
        <v>10</v>
      </c>
      <c r="BI618">
        <f t="shared" si="31"/>
        <v>1.1</v>
      </c>
      <c r="BJ618">
        <f t="shared" si="32"/>
        <v>9.09090909090909</v>
      </c>
    </row>
    <row r="619" spans="1:62">
      <c r="A619" s="1">
        <v>874181400</v>
      </c>
      <c r="B619">
        <v>39</v>
      </c>
      <c r="C619" t="s">
        <v>73</v>
      </c>
      <c r="D619" t="s">
        <v>60</v>
      </c>
      <c r="E619" t="s">
        <v>98</v>
      </c>
      <c r="F619" t="s">
        <v>62</v>
      </c>
      <c r="G619" t="s">
        <v>74</v>
      </c>
      <c r="H619" t="s">
        <v>797</v>
      </c>
      <c r="I619" t="s">
        <v>171</v>
      </c>
      <c r="J619" s="2">
        <v>293.43</v>
      </c>
      <c r="K619">
        <v>9</v>
      </c>
      <c r="L619" t="s">
        <v>78</v>
      </c>
      <c r="M619">
        <v>4</v>
      </c>
      <c r="N619">
        <v>4</v>
      </c>
      <c r="O619">
        <v>1</v>
      </c>
      <c r="P619" t="s">
        <v>79</v>
      </c>
      <c r="Q619" t="s">
        <v>109</v>
      </c>
      <c r="R619">
        <v>0</v>
      </c>
      <c r="S619">
        <v>5</v>
      </c>
      <c r="T619" t="s">
        <v>66</v>
      </c>
      <c r="U619" t="s">
        <v>105</v>
      </c>
      <c r="V619" t="s">
        <v>110</v>
      </c>
      <c r="W619" s="3">
        <v>45478</v>
      </c>
      <c r="X619" t="b">
        <v>0</v>
      </c>
      <c r="Y619" t="b">
        <v>1</v>
      </c>
      <c r="Z619" t="s">
        <v>70</v>
      </c>
      <c r="AA619" t="s">
        <v>83</v>
      </c>
      <c r="AB619">
        <v>7</v>
      </c>
      <c r="AO619" t="str">
        <f t="shared" si="33"/>
        <v>26-40</v>
      </c>
      <c r="BD619">
        <v>9</v>
      </c>
      <c r="BF619" cm="1">
        <f t="array" ref="BF619">CORREL(J619:J1619,S619:S1619)</f>
        <v>-0.0360740234306632</v>
      </c>
      <c r="BH619">
        <v>5</v>
      </c>
      <c r="BI619">
        <f t="shared" si="31"/>
        <v>1.8</v>
      </c>
      <c r="BJ619">
        <f t="shared" si="32"/>
        <v>2.77777777777778</v>
      </c>
    </row>
    <row r="620" spans="1:62">
      <c r="A620" s="1">
        <v>739910066</v>
      </c>
      <c r="B620">
        <v>35</v>
      </c>
      <c r="C620" t="s">
        <v>59</v>
      </c>
      <c r="D620" t="s">
        <v>74</v>
      </c>
      <c r="E620" t="s">
        <v>86</v>
      </c>
      <c r="F620" t="s">
        <v>62</v>
      </c>
      <c r="G620" t="s">
        <v>60</v>
      </c>
      <c r="H620" t="s">
        <v>798</v>
      </c>
      <c r="I620" t="s">
        <v>135</v>
      </c>
      <c r="J620" s="2">
        <v>418.51</v>
      </c>
      <c r="K620">
        <v>6</v>
      </c>
      <c r="L620" t="s">
        <v>85</v>
      </c>
      <c r="M620">
        <v>4</v>
      </c>
      <c r="N620">
        <v>4</v>
      </c>
      <c r="O620">
        <v>2</v>
      </c>
      <c r="P620" t="s">
        <v>84</v>
      </c>
      <c r="Q620" t="s">
        <v>67</v>
      </c>
      <c r="R620">
        <v>2</v>
      </c>
      <c r="S620">
        <v>2</v>
      </c>
      <c r="T620" t="s">
        <v>74</v>
      </c>
      <c r="U620" t="s">
        <v>105</v>
      </c>
      <c r="V620" t="s">
        <v>69</v>
      </c>
      <c r="W620" s="3">
        <v>45413</v>
      </c>
      <c r="X620" t="b">
        <v>0</v>
      </c>
      <c r="Y620" t="b">
        <v>1</v>
      </c>
      <c r="Z620" t="s">
        <v>70</v>
      </c>
      <c r="AA620" t="s">
        <v>83</v>
      </c>
      <c r="AB620">
        <v>3</v>
      </c>
      <c r="AO620" t="str">
        <f t="shared" si="33"/>
        <v>26-40</v>
      </c>
      <c r="BD620">
        <v>6</v>
      </c>
      <c r="BF620" cm="1">
        <f t="array" ref="BF620">CORREL(J620:J1620,S620:S1620)</f>
        <v>-0.0360336778845355</v>
      </c>
      <c r="BH620">
        <v>2</v>
      </c>
      <c r="BI620">
        <f t="shared" si="31"/>
        <v>3</v>
      </c>
      <c r="BJ620">
        <f t="shared" si="32"/>
        <v>0.666666666666667</v>
      </c>
    </row>
    <row r="621" spans="1:62">
      <c r="A621" s="1">
        <v>622738089</v>
      </c>
      <c r="B621">
        <v>39</v>
      </c>
      <c r="C621" t="s">
        <v>73</v>
      </c>
      <c r="D621" t="s">
        <v>60</v>
      </c>
      <c r="E621" t="s">
        <v>86</v>
      </c>
      <c r="F621" t="s">
        <v>87</v>
      </c>
      <c r="G621" t="s">
        <v>60</v>
      </c>
      <c r="H621" t="s">
        <v>799</v>
      </c>
      <c r="I621" t="s">
        <v>122</v>
      </c>
      <c r="J621" s="2">
        <v>85.03</v>
      </c>
      <c r="K621">
        <v>9</v>
      </c>
      <c r="L621" t="s">
        <v>78</v>
      </c>
      <c r="M621">
        <v>5</v>
      </c>
      <c r="N621">
        <v>4</v>
      </c>
      <c r="O621">
        <v>1</v>
      </c>
      <c r="P621" t="s">
        <v>79</v>
      </c>
      <c r="Q621" t="s">
        <v>80</v>
      </c>
      <c r="R621">
        <v>0</v>
      </c>
      <c r="S621">
        <v>9</v>
      </c>
      <c r="T621" t="s">
        <v>74</v>
      </c>
      <c r="U621" t="s">
        <v>90</v>
      </c>
      <c r="V621" t="s">
        <v>69</v>
      </c>
      <c r="W621" s="3">
        <v>45571</v>
      </c>
      <c r="X621" t="b">
        <v>1</v>
      </c>
      <c r="Y621" t="b">
        <v>1</v>
      </c>
      <c r="Z621" t="s">
        <v>82</v>
      </c>
      <c r="AA621" t="s">
        <v>97</v>
      </c>
      <c r="AB621">
        <v>8</v>
      </c>
      <c r="AO621" t="str">
        <f t="shared" si="33"/>
        <v>26-40</v>
      </c>
      <c r="BD621">
        <v>9</v>
      </c>
      <c r="BF621" cm="1">
        <f t="array" ref="BF621">CORREL(J621:J1621,S621:S1621)</f>
        <v>-0.0328063416154168</v>
      </c>
      <c r="BH621">
        <v>9</v>
      </c>
      <c r="BI621">
        <f t="shared" si="31"/>
        <v>1</v>
      </c>
      <c r="BJ621">
        <f t="shared" si="32"/>
        <v>9</v>
      </c>
    </row>
    <row r="622" spans="1:62">
      <c r="A622" s="1">
        <v>512203072</v>
      </c>
      <c r="B622">
        <v>31</v>
      </c>
      <c r="C622" t="s">
        <v>73</v>
      </c>
      <c r="D622" t="s">
        <v>60</v>
      </c>
      <c r="E622" t="s">
        <v>61</v>
      </c>
      <c r="F622" t="s">
        <v>87</v>
      </c>
      <c r="G622" t="s">
        <v>74</v>
      </c>
      <c r="H622" t="s">
        <v>800</v>
      </c>
      <c r="I622" t="s">
        <v>115</v>
      </c>
      <c r="J622" s="2">
        <v>164.94</v>
      </c>
      <c r="K622">
        <v>4</v>
      </c>
      <c r="L622" t="s">
        <v>78</v>
      </c>
      <c r="M622">
        <v>4</v>
      </c>
      <c r="N622">
        <v>4</v>
      </c>
      <c r="O622">
        <v>2</v>
      </c>
      <c r="P622" t="s">
        <v>74</v>
      </c>
      <c r="Q622" t="s">
        <v>67</v>
      </c>
      <c r="R622">
        <v>2</v>
      </c>
      <c r="S622">
        <v>2</v>
      </c>
      <c r="T622" t="s">
        <v>84</v>
      </c>
      <c r="U622" t="s">
        <v>105</v>
      </c>
      <c r="V622" t="s">
        <v>81</v>
      </c>
      <c r="W622" s="3">
        <v>45491</v>
      </c>
      <c r="X622" t="b">
        <v>1</v>
      </c>
      <c r="Y622" t="b">
        <v>1</v>
      </c>
      <c r="Z622" t="s">
        <v>82</v>
      </c>
      <c r="AA622" t="s">
        <v>97</v>
      </c>
      <c r="AB622">
        <v>6</v>
      </c>
      <c r="AO622" t="str">
        <f t="shared" si="33"/>
        <v>26-40</v>
      </c>
      <c r="BD622">
        <v>4</v>
      </c>
      <c r="BF622" cm="1">
        <f t="array" ref="BF622">CORREL(J622:J1622,S622:S1622)</f>
        <v>-0.0280655633241485</v>
      </c>
      <c r="BH622">
        <v>2</v>
      </c>
      <c r="BI622">
        <f t="shared" si="31"/>
        <v>2</v>
      </c>
      <c r="BJ622">
        <f t="shared" si="32"/>
        <v>1</v>
      </c>
    </row>
    <row r="623" spans="1:62">
      <c r="A623" s="1">
        <v>176480171</v>
      </c>
      <c r="B623">
        <v>38</v>
      </c>
      <c r="C623" t="s">
        <v>59</v>
      </c>
      <c r="D623" t="s">
        <v>74</v>
      </c>
      <c r="E623" t="s">
        <v>98</v>
      </c>
      <c r="F623" t="s">
        <v>62</v>
      </c>
      <c r="G623" t="s">
        <v>60</v>
      </c>
      <c r="H623" t="s">
        <v>801</v>
      </c>
      <c r="I623" t="s">
        <v>156</v>
      </c>
      <c r="J623" s="2">
        <v>89.32</v>
      </c>
      <c r="K623">
        <v>11</v>
      </c>
      <c r="L623" t="s">
        <v>85</v>
      </c>
      <c r="M623">
        <v>1</v>
      </c>
      <c r="N623">
        <v>1</v>
      </c>
      <c r="O623">
        <v>0.3</v>
      </c>
      <c r="P623" t="s">
        <v>84</v>
      </c>
      <c r="Q623" t="s">
        <v>67</v>
      </c>
      <c r="R623">
        <v>1</v>
      </c>
      <c r="S623">
        <v>3</v>
      </c>
      <c r="T623" t="s">
        <v>74</v>
      </c>
      <c r="U623" t="s">
        <v>105</v>
      </c>
      <c r="V623" t="s">
        <v>96</v>
      </c>
      <c r="W623" s="3">
        <v>45405</v>
      </c>
      <c r="X623" t="b">
        <v>1</v>
      </c>
      <c r="Y623" t="b">
        <v>0</v>
      </c>
      <c r="Z623" t="s">
        <v>82</v>
      </c>
      <c r="AA623" t="s">
        <v>71</v>
      </c>
      <c r="AB623">
        <v>12</v>
      </c>
      <c r="AO623" t="str">
        <f t="shared" si="33"/>
        <v>26-40</v>
      </c>
      <c r="BD623">
        <v>11</v>
      </c>
      <c r="BF623" cm="1">
        <f t="array" ref="BF623">CORREL(J623:J1623,S623:S1623)</f>
        <v>-0.0308672375821647</v>
      </c>
      <c r="BH623">
        <v>3</v>
      </c>
      <c r="BI623">
        <f t="shared" si="31"/>
        <v>3.66666666666667</v>
      </c>
      <c r="BJ623">
        <f t="shared" si="32"/>
        <v>0.818181818181818</v>
      </c>
    </row>
    <row r="624" spans="1:62">
      <c r="A624" s="1">
        <v>119759054</v>
      </c>
      <c r="B624">
        <v>33</v>
      </c>
      <c r="C624" t="s">
        <v>73</v>
      </c>
      <c r="D624" t="s">
        <v>60</v>
      </c>
      <c r="E624" t="s">
        <v>61</v>
      </c>
      <c r="F624" t="s">
        <v>75</v>
      </c>
      <c r="G624" t="s">
        <v>74</v>
      </c>
      <c r="H624" t="s">
        <v>802</v>
      </c>
      <c r="I624" t="s">
        <v>171</v>
      </c>
      <c r="J624" s="2">
        <v>388.26</v>
      </c>
      <c r="K624">
        <v>2</v>
      </c>
      <c r="L624" t="s">
        <v>65</v>
      </c>
      <c r="M624">
        <v>3</v>
      </c>
      <c r="N624">
        <v>1</v>
      </c>
      <c r="O624">
        <v>1</v>
      </c>
      <c r="P624" t="s">
        <v>74</v>
      </c>
      <c r="Q624" t="s">
        <v>80</v>
      </c>
      <c r="R624">
        <v>0</v>
      </c>
      <c r="S624">
        <v>7</v>
      </c>
      <c r="T624" t="s">
        <v>66</v>
      </c>
      <c r="U624" t="s">
        <v>90</v>
      </c>
      <c r="V624" t="s">
        <v>69</v>
      </c>
      <c r="W624" s="3">
        <v>45384</v>
      </c>
      <c r="X624" t="b">
        <v>0</v>
      </c>
      <c r="Y624" t="b">
        <v>0</v>
      </c>
      <c r="Z624" t="s">
        <v>102</v>
      </c>
      <c r="AA624" t="s">
        <v>71</v>
      </c>
      <c r="AB624">
        <v>5</v>
      </c>
      <c r="AO624" t="str">
        <f t="shared" si="33"/>
        <v>26-40</v>
      </c>
      <c r="BD624">
        <v>2</v>
      </c>
      <c r="BF624" cm="1">
        <f t="array" ref="BF624">CORREL(J624:J1624,S624:S1624)</f>
        <v>-0.0342067142272766</v>
      </c>
      <c r="BH624">
        <v>7</v>
      </c>
      <c r="BI624">
        <f t="shared" si="31"/>
        <v>0.285714285714286</v>
      </c>
      <c r="BJ624">
        <f t="shared" si="32"/>
        <v>24.5</v>
      </c>
    </row>
    <row r="625" spans="1:62">
      <c r="A625" s="1">
        <v>755182831</v>
      </c>
      <c r="B625">
        <v>33</v>
      </c>
      <c r="C625" t="s">
        <v>73</v>
      </c>
      <c r="D625" t="s">
        <v>60</v>
      </c>
      <c r="E625" t="s">
        <v>103</v>
      </c>
      <c r="F625" t="s">
        <v>87</v>
      </c>
      <c r="G625" t="s">
        <v>60</v>
      </c>
      <c r="H625" t="s">
        <v>803</v>
      </c>
      <c r="I625" t="s">
        <v>209</v>
      </c>
      <c r="J625" s="2">
        <v>106.69</v>
      </c>
      <c r="K625">
        <v>5</v>
      </c>
      <c r="L625" t="s">
        <v>85</v>
      </c>
      <c r="M625">
        <v>3</v>
      </c>
      <c r="N625">
        <v>4</v>
      </c>
      <c r="O625">
        <v>1.3</v>
      </c>
      <c r="P625" t="s">
        <v>79</v>
      </c>
      <c r="Q625" t="s">
        <v>109</v>
      </c>
      <c r="R625">
        <v>2</v>
      </c>
      <c r="S625">
        <v>10</v>
      </c>
      <c r="T625" t="s">
        <v>66</v>
      </c>
      <c r="U625" t="s">
        <v>105</v>
      </c>
      <c r="V625" t="s">
        <v>81</v>
      </c>
      <c r="W625" s="3">
        <v>45555</v>
      </c>
      <c r="X625" t="b">
        <v>0</v>
      </c>
      <c r="Y625" t="b">
        <v>1</v>
      </c>
      <c r="Z625" t="s">
        <v>82</v>
      </c>
      <c r="AA625" t="s">
        <v>83</v>
      </c>
      <c r="AB625">
        <v>14</v>
      </c>
      <c r="AO625" t="str">
        <f t="shared" si="33"/>
        <v>26-40</v>
      </c>
      <c r="BD625">
        <v>5</v>
      </c>
      <c r="BF625" cm="1">
        <f t="array" ref="BF625">CORREL(J625:J1625,S625:S1625)</f>
        <v>-0.0354939148273413</v>
      </c>
      <c r="BH625">
        <v>10</v>
      </c>
      <c r="BI625">
        <f t="shared" si="31"/>
        <v>0.5</v>
      </c>
      <c r="BJ625">
        <f t="shared" si="32"/>
        <v>20</v>
      </c>
    </row>
    <row r="626" spans="1:62">
      <c r="A626" s="1">
        <v>132979777</v>
      </c>
      <c r="B626">
        <v>42</v>
      </c>
      <c r="C626" t="s">
        <v>224</v>
      </c>
      <c r="D626" t="s">
        <v>60</v>
      </c>
      <c r="E626" t="s">
        <v>61</v>
      </c>
      <c r="F626" t="s">
        <v>62</v>
      </c>
      <c r="G626" t="s">
        <v>74</v>
      </c>
      <c r="H626" t="s">
        <v>804</v>
      </c>
      <c r="I626" t="s">
        <v>129</v>
      </c>
      <c r="J626" s="2">
        <v>301.16</v>
      </c>
      <c r="K626">
        <v>10</v>
      </c>
      <c r="L626" t="s">
        <v>85</v>
      </c>
      <c r="M626">
        <v>4</v>
      </c>
      <c r="N626">
        <v>3</v>
      </c>
      <c r="O626">
        <v>2</v>
      </c>
      <c r="P626" t="s">
        <v>66</v>
      </c>
      <c r="Q626" t="s">
        <v>109</v>
      </c>
      <c r="R626">
        <v>2</v>
      </c>
      <c r="S626">
        <v>9</v>
      </c>
      <c r="T626" t="s">
        <v>79</v>
      </c>
      <c r="U626" t="s">
        <v>68</v>
      </c>
      <c r="V626" t="s">
        <v>110</v>
      </c>
      <c r="W626" s="3">
        <v>45499</v>
      </c>
      <c r="X626" t="b">
        <v>0</v>
      </c>
      <c r="Y626" t="b">
        <v>0</v>
      </c>
      <c r="Z626" t="s">
        <v>70</v>
      </c>
      <c r="AA626" t="s">
        <v>83</v>
      </c>
      <c r="AB626">
        <v>1</v>
      </c>
      <c r="AO626" t="str">
        <f t="shared" si="33"/>
        <v>41-60</v>
      </c>
      <c r="BD626">
        <v>10</v>
      </c>
      <c r="BF626" cm="1">
        <f t="array" ref="BF626">CORREL(J626:J1626,S626:S1626)</f>
        <v>-0.0300333803968113</v>
      </c>
      <c r="BH626">
        <v>9</v>
      </c>
      <c r="BI626">
        <f t="shared" si="31"/>
        <v>1.11111111111111</v>
      </c>
      <c r="BJ626">
        <f t="shared" si="32"/>
        <v>8.1</v>
      </c>
    </row>
    <row r="627" spans="1:62">
      <c r="A627" s="1">
        <v>816047906</v>
      </c>
      <c r="B627">
        <v>49</v>
      </c>
      <c r="C627" t="s">
        <v>73</v>
      </c>
      <c r="D627" t="s">
        <v>60</v>
      </c>
      <c r="E627" t="s">
        <v>103</v>
      </c>
      <c r="F627" t="s">
        <v>75</v>
      </c>
      <c r="G627" t="s">
        <v>74</v>
      </c>
      <c r="H627" t="s">
        <v>805</v>
      </c>
      <c r="I627" t="s">
        <v>124</v>
      </c>
      <c r="J627" s="2">
        <v>61.71</v>
      </c>
      <c r="K627">
        <v>6</v>
      </c>
      <c r="L627" t="s">
        <v>65</v>
      </c>
      <c r="M627">
        <v>2</v>
      </c>
      <c r="N627">
        <v>5</v>
      </c>
      <c r="O627">
        <v>1</v>
      </c>
      <c r="P627" t="s">
        <v>84</v>
      </c>
      <c r="Q627" t="s">
        <v>109</v>
      </c>
      <c r="R627">
        <v>2</v>
      </c>
      <c r="S627">
        <v>7</v>
      </c>
      <c r="T627" t="s">
        <v>84</v>
      </c>
      <c r="U627" t="s">
        <v>68</v>
      </c>
      <c r="V627" t="s">
        <v>110</v>
      </c>
      <c r="W627" s="3">
        <v>45568</v>
      </c>
      <c r="X627" t="b">
        <v>0</v>
      </c>
      <c r="Y627" t="b">
        <v>0</v>
      </c>
      <c r="Z627" t="s">
        <v>92</v>
      </c>
      <c r="AA627" t="s">
        <v>71</v>
      </c>
      <c r="AB627">
        <v>12</v>
      </c>
      <c r="AO627" t="str">
        <f t="shared" si="33"/>
        <v>41-60</v>
      </c>
      <c r="BD627">
        <v>6</v>
      </c>
      <c r="BF627" cm="1">
        <f t="array" ref="BF627">CORREL(J627:J1627,S627:S1627)</f>
        <v>-0.0306732747116532</v>
      </c>
      <c r="BH627">
        <v>7</v>
      </c>
      <c r="BI627">
        <f t="shared" si="31"/>
        <v>0.857142857142857</v>
      </c>
      <c r="BJ627">
        <f t="shared" si="32"/>
        <v>8.16666666666667</v>
      </c>
    </row>
    <row r="628" spans="1:62">
      <c r="A628" s="1">
        <v>875180375</v>
      </c>
      <c r="B628">
        <v>46</v>
      </c>
      <c r="C628" t="s">
        <v>175</v>
      </c>
      <c r="D628" t="s">
        <v>60</v>
      </c>
      <c r="E628" t="s">
        <v>103</v>
      </c>
      <c r="F628" t="s">
        <v>75</v>
      </c>
      <c r="G628" t="s">
        <v>74</v>
      </c>
      <c r="H628" t="s">
        <v>806</v>
      </c>
      <c r="I628" t="s">
        <v>113</v>
      </c>
      <c r="J628" s="2">
        <v>83.33</v>
      </c>
      <c r="K628">
        <v>11</v>
      </c>
      <c r="L628" t="s">
        <v>78</v>
      </c>
      <c r="M628">
        <v>1</v>
      </c>
      <c r="N628">
        <v>5</v>
      </c>
      <c r="O628">
        <v>1</v>
      </c>
      <c r="P628" t="s">
        <v>79</v>
      </c>
      <c r="Q628" t="s">
        <v>109</v>
      </c>
      <c r="R628">
        <v>1</v>
      </c>
      <c r="S628">
        <v>6</v>
      </c>
      <c r="T628" t="s">
        <v>84</v>
      </c>
      <c r="U628" t="s">
        <v>105</v>
      </c>
      <c r="V628" t="s">
        <v>91</v>
      </c>
      <c r="W628" s="3">
        <v>45349</v>
      </c>
      <c r="X628" t="b">
        <v>1</v>
      </c>
      <c r="Y628" t="b">
        <v>1</v>
      </c>
      <c r="Z628" t="s">
        <v>102</v>
      </c>
      <c r="AA628" t="s">
        <v>97</v>
      </c>
      <c r="AB628">
        <v>1</v>
      </c>
      <c r="AO628" t="str">
        <f t="shared" si="33"/>
        <v>41-60</v>
      </c>
      <c r="BD628">
        <v>11</v>
      </c>
      <c r="BF628" cm="1">
        <f t="array" ref="BF628">CORREL(J628:J1628,S628:S1628)</f>
        <v>-0.0282550734176274</v>
      </c>
      <c r="BH628">
        <v>6</v>
      </c>
      <c r="BI628">
        <f t="shared" si="31"/>
        <v>1.83333333333333</v>
      </c>
      <c r="BJ628">
        <f t="shared" si="32"/>
        <v>3.27272727272727</v>
      </c>
    </row>
    <row r="629" spans="1:62">
      <c r="A629" s="1">
        <v>534372629</v>
      </c>
      <c r="B629">
        <v>42</v>
      </c>
      <c r="C629" t="s">
        <v>73</v>
      </c>
      <c r="D629" t="s">
        <v>74</v>
      </c>
      <c r="E629" t="s">
        <v>86</v>
      </c>
      <c r="F629" t="s">
        <v>62</v>
      </c>
      <c r="G629" t="s">
        <v>60</v>
      </c>
      <c r="H629" t="s">
        <v>807</v>
      </c>
      <c r="I629" t="s">
        <v>107</v>
      </c>
      <c r="J629" s="2">
        <v>411.81</v>
      </c>
      <c r="K629">
        <v>4</v>
      </c>
      <c r="L629" t="s">
        <v>65</v>
      </c>
      <c r="M629">
        <v>1</v>
      </c>
      <c r="N629">
        <v>3</v>
      </c>
      <c r="O629">
        <v>1</v>
      </c>
      <c r="P629" t="s">
        <v>74</v>
      </c>
      <c r="Q629" t="s">
        <v>67</v>
      </c>
      <c r="R629">
        <v>1</v>
      </c>
      <c r="S629">
        <v>1</v>
      </c>
      <c r="T629" t="s">
        <v>74</v>
      </c>
      <c r="U629" t="s">
        <v>90</v>
      </c>
      <c r="V629" t="s">
        <v>110</v>
      </c>
      <c r="W629" s="3">
        <v>45390</v>
      </c>
      <c r="X629" t="b">
        <v>1</v>
      </c>
      <c r="Y629" t="b">
        <v>1</v>
      </c>
      <c r="Z629" t="s">
        <v>102</v>
      </c>
      <c r="AA629" t="s">
        <v>83</v>
      </c>
      <c r="AB629">
        <v>1</v>
      </c>
      <c r="AO629" t="str">
        <f t="shared" si="33"/>
        <v>41-60</v>
      </c>
      <c r="BD629">
        <v>4</v>
      </c>
      <c r="BF629" cm="1">
        <f t="array" ref="BF629">CORREL(J629:J1629,S629:S1629)</f>
        <v>-0.0274510003803376</v>
      </c>
      <c r="BH629">
        <v>1</v>
      </c>
      <c r="BI629">
        <f t="shared" si="31"/>
        <v>4</v>
      </c>
      <c r="BJ629">
        <f t="shared" si="32"/>
        <v>0.25</v>
      </c>
    </row>
    <row r="630" spans="1:62">
      <c r="A630" s="1">
        <v>466810764</v>
      </c>
      <c r="B630">
        <v>44</v>
      </c>
      <c r="C630" t="s">
        <v>59</v>
      </c>
      <c r="D630" t="s">
        <v>60</v>
      </c>
      <c r="E630" t="s">
        <v>61</v>
      </c>
      <c r="F630" t="s">
        <v>87</v>
      </c>
      <c r="G630" t="s">
        <v>74</v>
      </c>
      <c r="H630" t="s">
        <v>808</v>
      </c>
      <c r="I630" t="s">
        <v>118</v>
      </c>
      <c r="J630" s="2">
        <v>114.93</v>
      </c>
      <c r="K630">
        <v>3</v>
      </c>
      <c r="L630" t="s">
        <v>78</v>
      </c>
      <c r="M630">
        <v>4</v>
      </c>
      <c r="N630">
        <v>3</v>
      </c>
      <c r="O630">
        <v>1</v>
      </c>
      <c r="P630" t="s">
        <v>74</v>
      </c>
      <c r="Q630" t="s">
        <v>67</v>
      </c>
      <c r="R630">
        <v>0</v>
      </c>
      <c r="S630">
        <v>4</v>
      </c>
      <c r="T630" t="s">
        <v>66</v>
      </c>
      <c r="U630" t="s">
        <v>105</v>
      </c>
      <c r="V630" t="s">
        <v>96</v>
      </c>
      <c r="W630" s="3">
        <v>45527</v>
      </c>
      <c r="X630" t="b">
        <v>1</v>
      </c>
      <c r="Y630" t="b">
        <v>1</v>
      </c>
      <c r="Z630" t="s">
        <v>92</v>
      </c>
      <c r="AA630" t="s">
        <v>83</v>
      </c>
      <c r="AB630">
        <v>4</v>
      </c>
      <c r="AO630" t="str">
        <f t="shared" si="33"/>
        <v>41-60</v>
      </c>
      <c r="BD630">
        <v>3</v>
      </c>
      <c r="BF630" cm="1">
        <f t="array" ref="BF630">CORREL(J630:J1630,S630:S1630)</f>
        <v>-0.0233965872549757</v>
      </c>
      <c r="BH630">
        <v>4</v>
      </c>
      <c r="BI630">
        <f t="shared" si="31"/>
        <v>0.75</v>
      </c>
      <c r="BJ630">
        <f t="shared" si="32"/>
        <v>5.33333333333333</v>
      </c>
    </row>
    <row r="631" spans="1:62">
      <c r="A631" s="1">
        <v>439906454</v>
      </c>
      <c r="B631">
        <v>33</v>
      </c>
      <c r="C631" t="s">
        <v>59</v>
      </c>
      <c r="D631" t="s">
        <v>74</v>
      </c>
      <c r="E631" t="s">
        <v>103</v>
      </c>
      <c r="F631" t="s">
        <v>87</v>
      </c>
      <c r="G631" t="s">
        <v>60</v>
      </c>
      <c r="H631" t="s">
        <v>809</v>
      </c>
      <c r="I631" t="s">
        <v>209</v>
      </c>
      <c r="J631" s="2">
        <v>438.42</v>
      </c>
      <c r="K631">
        <v>11</v>
      </c>
      <c r="L631" t="s">
        <v>85</v>
      </c>
      <c r="M631">
        <v>3</v>
      </c>
      <c r="N631">
        <v>2</v>
      </c>
      <c r="O631">
        <v>2</v>
      </c>
      <c r="P631" t="s">
        <v>79</v>
      </c>
      <c r="Q631" t="s">
        <v>109</v>
      </c>
      <c r="R631">
        <v>0</v>
      </c>
      <c r="S631">
        <v>4</v>
      </c>
      <c r="T631" t="s">
        <v>84</v>
      </c>
      <c r="U631" t="s">
        <v>68</v>
      </c>
      <c r="V631" t="s">
        <v>110</v>
      </c>
      <c r="W631" s="3">
        <v>45545</v>
      </c>
      <c r="X631" t="b">
        <v>1</v>
      </c>
      <c r="Y631" t="b">
        <v>0</v>
      </c>
      <c r="Z631" t="s">
        <v>102</v>
      </c>
      <c r="AA631" t="s">
        <v>97</v>
      </c>
      <c r="AB631">
        <v>4</v>
      </c>
      <c r="AO631" t="str">
        <f t="shared" si="33"/>
        <v>26-40</v>
      </c>
      <c r="BD631">
        <v>11</v>
      </c>
      <c r="BF631" cm="1">
        <f t="array" ref="BF631">CORREL(J631:J1631,S631:S1631)</f>
        <v>-0.0251154613222977</v>
      </c>
      <c r="BH631">
        <v>4</v>
      </c>
      <c r="BI631">
        <f t="shared" si="31"/>
        <v>2.75</v>
      </c>
      <c r="BJ631">
        <f t="shared" si="32"/>
        <v>1.45454545454545</v>
      </c>
    </row>
    <row r="632" spans="1:62">
      <c r="A632" s="1">
        <v>555703804</v>
      </c>
      <c r="B632">
        <v>36</v>
      </c>
      <c r="C632" t="s">
        <v>73</v>
      </c>
      <c r="D632" t="s">
        <v>60</v>
      </c>
      <c r="E632" t="s">
        <v>98</v>
      </c>
      <c r="F632" t="s">
        <v>87</v>
      </c>
      <c r="G632" t="s">
        <v>60</v>
      </c>
      <c r="H632" t="s">
        <v>810</v>
      </c>
      <c r="I632" t="s">
        <v>118</v>
      </c>
      <c r="J632" s="2">
        <v>189.97</v>
      </c>
      <c r="K632">
        <v>2</v>
      </c>
      <c r="L632" t="s">
        <v>78</v>
      </c>
      <c r="M632">
        <v>2</v>
      </c>
      <c r="N632">
        <v>3</v>
      </c>
      <c r="O632">
        <v>1</v>
      </c>
      <c r="P632" t="s">
        <v>74</v>
      </c>
      <c r="Q632" t="s">
        <v>67</v>
      </c>
      <c r="R632">
        <v>0</v>
      </c>
      <c r="S632">
        <v>3</v>
      </c>
      <c r="T632" t="s">
        <v>79</v>
      </c>
      <c r="U632" t="s">
        <v>90</v>
      </c>
      <c r="V632" t="s">
        <v>69</v>
      </c>
      <c r="W632" s="3">
        <v>45357</v>
      </c>
      <c r="X632" t="b">
        <v>1</v>
      </c>
      <c r="Y632" t="b">
        <v>0</v>
      </c>
      <c r="Z632" t="s">
        <v>70</v>
      </c>
      <c r="AA632" t="s">
        <v>83</v>
      </c>
      <c r="AB632">
        <v>8</v>
      </c>
      <c r="AO632" t="str">
        <f t="shared" si="33"/>
        <v>26-40</v>
      </c>
      <c r="BD632">
        <v>2</v>
      </c>
      <c r="BF632" cm="1">
        <f t="array" ref="BF632">CORREL(J632:J1632,S632:S1632)</f>
        <v>-0.0235694877570194</v>
      </c>
      <c r="BH632">
        <v>3</v>
      </c>
      <c r="BI632">
        <f t="shared" si="31"/>
        <v>0.666666666666667</v>
      </c>
      <c r="BJ632">
        <f t="shared" si="32"/>
        <v>4.5</v>
      </c>
    </row>
    <row r="633" spans="1:62">
      <c r="A633" s="1">
        <v>290674901</v>
      </c>
      <c r="B633">
        <v>35</v>
      </c>
      <c r="C633" t="s">
        <v>73</v>
      </c>
      <c r="D633" t="s">
        <v>74</v>
      </c>
      <c r="E633" t="s">
        <v>103</v>
      </c>
      <c r="F633" t="s">
        <v>87</v>
      </c>
      <c r="G633" t="s">
        <v>60</v>
      </c>
      <c r="H633" t="s">
        <v>811</v>
      </c>
      <c r="I633" t="s">
        <v>147</v>
      </c>
      <c r="J633" s="2">
        <v>227.03</v>
      </c>
      <c r="K633">
        <v>12</v>
      </c>
      <c r="L633" t="s">
        <v>85</v>
      </c>
      <c r="M633">
        <v>2</v>
      </c>
      <c r="N633">
        <v>2</v>
      </c>
      <c r="O633">
        <v>0</v>
      </c>
      <c r="P633" t="s">
        <v>74</v>
      </c>
      <c r="Q633" t="s">
        <v>109</v>
      </c>
      <c r="R633">
        <v>2</v>
      </c>
      <c r="S633">
        <v>10</v>
      </c>
      <c r="T633" t="s">
        <v>84</v>
      </c>
      <c r="U633" t="s">
        <v>105</v>
      </c>
      <c r="V633" t="s">
        <v>81</v>
      </c>
      <c r="W633" s="3">
        <v>45480</v>
      </c>
      <c r="X633" t="b">
        <v>1</v>
      </c>
      <c r="Y633" t="b">
        <v>1</v>
      </c>
      <c r="Z633" t="s">
        <v>102</v>
      </c>
      <c r="AA633" t="s">
        <v>83</v>
      </c>
      <c r="AB633">
        <v>2</v>
      </c>
      <c r="AO633" t="str">
        <f t="shared" si="33"/>
        <v>26-40</v>
      </c>
      <c r="BD633">
        <v>12</v>
      </c>
      <c r="BF633" cm="1">
        <f t="array" ref="BF633">CORREL(J633:J1633,S633:S1633)</f>
        <v>-0.0251793193927777</v>
      </c>
      <c r="BH633">
        <v>10</v>
      </c>
      <c r="BI633">
        <f t="shared" si="31"/>
        <v>1.2</v>
      </c>
      <c r="BJ633">
        <f t="shared" si="32"/>
        <v>8.33333333333333</v>
      </c>
    </row>
    <row r="634" spans="1:62">
      <c r="A634" s="1">
        <v>939576269</v>
      </c>
      <c r="B634">
        <v>26</v>
      </c>
      <c r="C634" t="s">
        <v>73</v>
      </c>
      <c r="D634" t="s">
        <v>74</v>
      </c>
      <c r="E634" t="s">
        <v>103</v>
      </c>
      <c r="F634" t="s">
        <v>62</v>
      </c>
      <c r="G634" t="s">
        <v>60</v>
      </c>
      <c r="H634" t="s">
        <v>812</v>
      </c>
      <c r="I634" t="s">
        <v>95</v>
      </c>
      <c r="J634" s="2">
        <v>278.49</v>
      </c>
      <c r="K634">
        <v>4</v>
      </c>
      <c r="L634" t="s">
        <v>65</v>
      </c>
      <c r="M634">
        <v>5</v>
      </c>
      <c r="N634">
        <v>5</v>
      </c>
      <c r="O634">
        <v>0</v>
      </c>
      <c r="P634" t="s">
        <v>84</v>
      </c>
      <c r="Q634" t="s">
        <v>67</v>
      </c>
      <c r="R634">
        <v>1</v>
      </c>
      <c r="S634">
        <v>5</v>
      </c>
      <c r="T634" t="s">
        <v>84</v>
      </c>
      <c r="U634" t="s">
        <v>90</v>
      </c>
      <c r="V634" t="s">
        <v>69</v>
      </c>
      <c r="W634" s="3">
        <v>45543</v>
      </c>
      <c r="X634" t="b">
        <v>1</v>
      </c>
      <c r="Y634" t="b">
        <v>1</v>
      </c>
      <c r="Z634" t="s">
        <v>70</v>
      </c>
      <c r="AA634" t="s">
        <v>97</v>
      </c>
      <c r="AB634">
        <v>8</v>
      </c>
      <c r="AO634" t="str">
        <f t="shared" si="33"/>
        <v>26-40</v>
      </c>
      <c r="BD634">
        <v>4</v>
      </c>
      <c r="BF634" cm="1">
        <f t="array" ref="BF634">CORREL(J634:J1634,S634:S1634)</f>
        <v>-0.0234861395021338</v>
      </c>
      <c r="BH634">
        <v>5</v>
      </c>
      <c r="BI634">
        <f t="shared" si="31"/>
        <v>0.8</v>
      </c>
      <c r="BJ634">
        <f t="shared" si="32"/>
        <v>6.25</v>
      </c>
    </row>
    <row r="635" spans="1:62">
      <c r="A635" s="1">
        <v>812256647</v>
      </c>
      <c r="B635">
        <v>43</v>
      </c>
      <c r="C635" t="s">
        <v>59</v>
      </c>
      <c r="D635" t="s">
        <v>74</v>
      </c>
      <c r="E635" t="s">
        <v>98</v>
      </c>
      <c r="F635" t="s">
        <v>62</v>
      </c>
      <c r="G635" t="s">
        <v>74</v>
      </c>
      <c r="H635" t="s">
        <v>813</v>
      </c>
      <c r="I635" t="s">
        <v>120</v>
      </c>
      <c r="J635" s="2">
        <v>120.56</v>
      </c>
      <c r="K635">
        <v>5</v>
      </c>
      <c r="L635" t="s">
        <v>85</v>
      </c>
      <c r="M635">
        <v>4</v>
      </c>
      <c r="N635">
        <v>3</v>
      </c>
      <c r="O635">
        <v>2</v>
      </c>
      <c r="P635" t="s">
        <v>66</v>
      </c>
      <c r="Q635" t="s">
        <v>80</v>
      </c>
      <c r="R635">
        <v>2</v>
      </c>
      <c r="S635">
        <v>7</v>
      </c>
      <c r="T635" t="s">
        <v>84</v>
      </c>
      <c r="U635" t="s">
        <v>68</v>
      </c>
      <c r="V635" t="s">
        <v>91</v>
      </c>
      <c r="W635" s="3">
        <v>45446</v>
      </c>
      <c r="X635" t="b">
        <v>0</v>
      </c>
      <c r="Y635" t="b">
        <v>0</v>
      </c>
      <c r="Z635" t="s">
        <v>70</v>
      </c>
      <c r="AA635" t="s">
        <v>97</v>
      </c>
      <c r="AB635">
        <v>7</v>
      </c>
      <c r="AO635" t="str">
        <f t="shared" si="33"/>
        <v>41-60</v>
      </c>
      <c r="BD635">
        <v>5</v>
      </c>
      <c r="BF635" cm="1">
        <f t="array" ref="BF635">CORREL(J635:J1635,S635:S1635)</f>
        <v>-0.0234916984742084</v>
      </c>
      <c r="BH635">
        <v>7</v>
      </c>
      <c r="BI635">
        <f t="shared" si="31"/>
        <v>0.714285714285714</v>
      </c>
      <c r="BJ635">
        <f t="shared" si="32"/>
        <v>9.8</v>
      </c>
    </row>
    <row r="636" spans="1:62">
      <c r="A636" s="1">
        <v>647067841</v>
      </c>
      <c r="B636">
        <v>25</v>
      </c>
      <c r="C636" t="s">
        <v>73</v>
      </c>
      <c r="D636" t="s">
        <v>74</v>
      </c>
      <c r="E636" t="s">
        <v>103</v>
      </c>
      <c r="F636" t="s">
        <v>62</v>
      </c>
      <c r="G636" t="s">
        <v>60</v>
      </c>
      <c r="H636" t="s">
        <v>814</v>
      </c>
      <c r="I636" t="s">
        <v>64</v>
      </c>
      <c r="J636" s="2">
        <v>320.94</v>
      </c>
      <c r="K636">
        <v>11</v>
      </c>
      <c r="L636" t="s">
        <v>85</v>
      </c>
      <c r="M636">
        <v>3</v>
      </c>
      <c r="N636">
        <v>3</v>
      </c>
      <c r="O636">
        <v>2</v>
      </c>
      <c r="P636" t="s">
        <v>74</v>
      </c>
      <c r="Q636" t="s">
        <v>80</v>
      </c>
      <c r="R636">
        <v>2</v>
      </c>
      <c r="S636">
        <v>10</v>
      </c>
      <c r="T636" t="s">
        <v>66</v>
      </c>
      <c r="U636" t="s">
        <v>90</v>
      </c>
      <c r="V636" t="s">
        <v>110</v>
      </c>
      <c r="W636" s="3">
        <v>45604</v>
      </c>
      <c r="X636" t="b">
        <v>0</v>
      </c>
      <c r="Y636" t="b">
        <v>0</v>
      </c>
      <c r="Z636" t="s">
        <v>92</v>
      </c>
      <c r="AA636" t="s">
        <v>71</v>
      </c>
      <c r="AB636">
        <v>10</v>
      </c>
      <c r="AO636" t="str">
        <f t="shared" si="33"/>
        <v>18-25</v>
      </c>
      <c r="BD636">
        <v>11</v>
      </c>
      <c r="BF636" cm="1">
        <f t="array" ref="BF636">CORREL(J636:J1636,S636:S1636)</f>
        <v>-0.0216532611633625</v>
      </c>
      <c r="BH636">
        <v>10</v>
      </c>
      <c r="BI636">
        <f t="shared" si="31"/>
        <v>1.1</v>
      </c>
      <c r="BJ636">
        <f t="shared" si="32"/>
        <v>9.09090909090909</v>
      </c>
    </row>
    <row r="637" spans="1:62">
      <c r="A637" s="1">
        <v>471789529</v>
      </c>
      <c r="B637">
        <v>37</v>
      </c>
      <c r="C637" t="s">
        <v>59</v>
      </c>
      <c r="D637" t="s">
        <v>74</v>
      </c>
      <c r="E637" t="s">
        <v>103</v>
      </c>
      <c r="F637" t="s">
        <v>87</v>
      </c>
      <c r="G637" t="s">
        <v>60</v>
      </c>
      <c r="H637" t="s">
        <v>815</v>
      </c>
      <c r="I637" t="s">
        <v>209</v>
      </c>
      <c r="J637" s="2">
        <v>217.72</v>
      </c>
      <c r="K637">
        <v>3</v>
      </c>
      <c r="L637" t="s">
        <v>78</v>
      </c>
      <c r="M637">
        <v>4</v>
      </c>
      <c r="N637">
        <v>4</v>
      </c>
      <c r="O637">
        <v>2</v>
      </c>
      <c r="P637" t="s">
        <v>79</v>
      </c>
      <c r="Q637" t="s">
        <v>80</v>
      </c>
      <c r="R637">
        <v>1</v>
      </c>
      <c r="S637">
        <v>4</v>
      </c>
      <c r="T637" t="s">
        <v>74</v>
      </c>
      <c r="U637" t="s">
        <v>68</v>
      </c>
      <c r="V637" t="s">
        <v>91</v>
      </c>
      <c r="W637" s="3">
        <v>45581</v>
      </c>
      <c r="X637" t="b">
        <v>0</v>
      </c>
      <c r="Y637" t="b">
        <v>1</v>
      </c>
      <c r="Z637" t="s">
        <v>82</v>
      </c>
      <c r="AA637" t="s">
        <v>71</v>
      </c>
      <c r="AB637">
        <v>14</v>
      </c>
      <c r="AO637" t="str">
        <f t="shared" si="33"/>
        <v>26-40</v>
      </c>
      <c r="BD637">
        <v>3</v>
      </c>
      <c r="BF637" cm="1">
        <f t="array" ref="BF637">CORREL(J637:J1637,S637:S1637)</f>
        <v>-0.0231110266750078</v>
      </c>
      <c r="BH637">
        <v>4</v>
      </c>
      <c r="BI637">
        <f t="shared" si="31"/>
        <v>0.75</v>
      </c>
      <c r="BJ637">
        <f t="shared" si="32"/>
        <v>5.33333333333333</v>
      </c>
    </row>
    <row r="638" spans="1:62">
      <c r="A638" s="1">
        <v>638083641</v>
      </c>
      <c r="B638">
        <v>25</v>
      </c>
      <c r="C638" t="s">
        <v>73</v>
      </c>
      <c r="D638" t="s">
        <v>74</v>
      </c>
      <c r="E638" t="s">
        <v>98</v>
      </c>
      <c r="F638" t="s">
        <v>62</v>
      </c>
      <c r="G638" t="s">
        <v>60</v>
      </c>
      <c r="H638" t="s">
        <v>816</v>
      </c>
      <c r="I638" t="s">
        <v>95</v>
      </c>
      <c r="J638" s="2">
        <v>222.61</v>
      </c>
      <c r="K638">
        <v>3</v>
      </c>
      <c r="L638" t="s">
        <v>85</v>
      </c>
      <c r="M638">
        <v>1</v>
      </c>
      <c r="N638">
        <v>2</v>
      </c>
      <c r="O638">
        <v>1</v>
      </c>
      <c r="P638" t="s">
        <v>79</v>
      </c>
      <c r="Q638" t="s">
        <v>109</v>
      </c>
      <c r="R638">
        <v>1</v>
      </c>
      <c r="S638">
        <v>1</v>
      </c>
      <c r="T638" t="s">
        <v>66</v>
      </c>
      <c r="U638" t="s">
        <v>105</v>
      </c>
      <c r="V638" t="s">
        <v>81</v>
      </c>
      <c r="W638" s="3">
        <v>45476</v>
      </c>
      <c r="X638" t="b">
        <v>0</v>
      </c>
      <c r="Y638" t="b">
        <v>1</v>
      </c>
      <c r="Z638" t="s">
        <v>70</v>
      </c>
      <c r="AA638" t="s">
        <v>83</v>
      </c>
      <c r="AB638">
        <v>3</v>
      </c>
      <c r="AO638" t="str">
        <f t="shared" si="33"/>
        <v>18-25</v>
      </c>
      <c r="BD638">
        <v>3</v>
      </c>
      <c r="BF638" cm="1">
        <f t="array" ref="BF638">CORREL(J638:J1638,S638:S1638)</f>
        <v>-0.0237620770238107</v>
      </c>
      <c r="BH638">
        <v>1</v>
      </c>
      <c r="BI638">
        <f t="shared" si="31"/>
        <v>3</v>
      </c>
      <c r="BJ638">
        <f t="shared" si="32"/>
        <v>0.333333333333333</v>
      </c>
    </row>
    <row r="639" spans="1:62">
      <c r="A639" s="1">
        <v>857388909</v>
      </c>
      <c r="B639">
        <v>40</v>
      </c>
      <c r="C639" t="s">
        <v>59</v>
      </c>
      <c r="D639" t="s">
        <v>60</v>
      </c>
      <c r="E639" t="s">
        <v>103</v>
      </c>
      <c r="F639" t="s">
        <v>75</v>
      </c>
      <c r="G639" t="s">
        <v>60</v>
      </c>
      <c r="H639" t="s">
        <v>817</v>
      </c>
      <c r="I639" t="s">
        <v>174</v>
      </c>
      <c r="J639" s="2">
        <v>102.73</v>
      </c>
      <c r="K639">
        <v>3</v>
      </c>
      <c r="L639" t="s">
        <v>65</v>
      </c>
      <c r="M639">
        <v>4</v>
      </c>
      <c r="N639">
        <v>5</v>
      </c>
      <c r="O639">
        <v>0.3</v>
      </c>
      <c r="P639" t="s">
        <v>66</v>
      </c>
      <c r="Q639" t="s">
        <v>80</v>
      </c>
      <c r="R639">
        <v>2</v>
      </c>
      <c r="S639">
        <v>5</v>
      </c>
      <c r="T639" t="s">
        <v>66</v>
      </c>
      <c r="U639" t="s">
        <v>68</v>
      </c>
      <c r="V639" t="s">
        <v>91</v>
      </c>
      <c r="W639" s="3">
        <v>45491</v>
      </c>
      <c r="X639" t="b">
        <v>0</v>
      </c>
      <c r="Y639" t="b">
        <v>0</v>
      </c>
      <c r="Z639" t="s">
        <v>82</v>
      </c>
      <c r="AA639" t="s">
        <v>97</v>
      </c>
      <c r="AB639">
        <v>14</v>
      </c>
      <c r="AO639" t="str">
        <f t="shared" si="33"/>
        <v>26-40</v>
      </c>
      <c r="BD639">
        <v>3</v>
      </c>
      <c r="BF639" cm="1">
        <f t="array" ref="BF639">CORREL(J639:J1639,S639:S1639)</f>
        <v>-0.025735353002977</v>
      </c>
      <c r="BH639">
        <v>5</v>
      </c>
      <c r="BI639">
        <f t="shared" si="31"/>
        <v>0.6</v>
      </c>
      <c r="BJ639">
        <f t="shared" si="32"/>
        <v>8.33333333333333</v>
      </c>
    </row>
    <row r="640" spans="1:62">
      <c r="A640" s="1">
        <v>402241057</v>
      </c>
      <c r="B640">
        <v>40</v>
      </c>
      <c r="C640" t="s">
        <v>59</v>
      </c>
      <c r="D640" t="s">
        <v>60</v>
      </c>
      <c r="E640" t="s">
        <v>61</v>
      </c>
      <c r="F640" t="s">
        <v>62</v>
      </c>
      <c r="G640" t="s">
        <v>74</v>
      </c>
      <c r="H640" t="s">
        <v>818</v>
      </c>
      <c r="I640" t="s">
        <v>113</v>
      </c>
      <c r="J640" s="2">
        <v>426.87</v>
      </c>
      <c r="K640">
        <v>2</v>
      </c>
      <c r="L640" t="s">
        <v>78</v>
      </c>
      <c r="M640">
        <v>4</v>
      </c>
      <c r="N640">
        <v>2</v>
      </c>
      <c r="O640">
        <v>2</v>
      </c>
      <c r="P640" t="s">
        <v>66</v>
      </c>
      <c r="Q640" t="s">
        <v>80</v>
      </c>
      <c r="R640">
        <v>0</v>
      </c>
      <c r="S640">
        <v>4</v>
      </c>
      <c r="T640" t="s">
        <v>79</v>
      </c>
      <c r="U640" t="s">
        <v>90</v>
      </c>
      <c r="V640" t="s">
        <v>91</v>
      </c>
      <c r="W640" s="3">
        <v>45365</v>
      </c>
      <c r="X640" t="b">
        <v>0</v>
      </c>
      <c r="Y640" t="b">
        <v>0</v>
      </c>
      <c r="Z640" t="s">
        <v>82</v>
      </c>
      <c r="AA640" t="s">
        <v>71</v>
      </c>
      <c r="AB640">
        <v>3</v>
      </c>
      <c r="AO640" t="str">
        <f t="shared" si="33"/>
        <v>26-40</v>
      </c>
      <c r="BD640">
        <v>2</v>
      </c>
      <c r="BF640" cm="1">
        <f t="array" ref="BF640">CORREL(J640:J1640,S640:S1640)</f>
        <v>-0.0263102724000767</v>
      </c>
      <c r="BH640">
        <v>4</v>
      </c>
      <c r="BI640">
        <f t="shared" si="31"/>
        <v>0.5</v>
      </c>
      <c r="BJ640">
        <f t="shared" si="32"/>
        <v>8</v>
      </c>
    </row>
    <row r="641" spans="1:62">
      <c r="A641" s="1">
        <v>248531635</v>
      </c>
      <c r="B641">
        <v>20</v>
      </c>
      <c r="C641" t="s">
        <v>59</v>
      </c>
      <c r="D641" t="s">
        <v>60</v>
      </c>
      <c r="E641" t="s">
        <v>98</v>
      </c>
      <c r="F641" t="s">
        <v>75</v>
      </c>
      <c r="G641" t="s">
        <v>60</v>
      </c>
      <c r="H641" t="s">
        <v>819</v>
      </c>
      <c r="I641" t="s">
        <v>209</v>
      </c>
      <c r="J641" s="2">
        <v>473.28</v>
      </c>
      <c r="K641">
        <v>5</v>
      </c>
      <c r="L641" t="s">
        <v>85</v>
      </c>
      <c r="M641">
        <v>5</v>
      </c>
      <c r="N641">
        <v>5</v>
      </c>
      <c r="O641">
        <v>1</v>
      </c>
      <c r="P641" t="s">
        <v>79</v>
      </c>
      <c r="Q641" t="s">
        <v>109</v>
      </c>
      <c r="R641">
        <v>1</v>
      </c>
      <c r="S641">
        <v>9</v>
      </c>
      <c r="T641" t="s">
        <v>66</v>
      </c>
      <c r="U641" t="s">
        <v>90</v>
      </c>
      <c r="V641" t="s">
        <v>110</v>
      </c>
      <c r="W641" s="3">
        <v>45635</v>
      </c>
      <c r="X641" t="b">
        <v>0</v>
      </c>
      <c r="Y641" t="b">
        <v>0</v>
      </c>
      <c r="Z641" t="s">
        <v>70</v>
      </c>
      <c r="AA641" t="s">
        <v>83</v>
      </c>
      <c r="AB641">
        <v>13</v>
      </c>
      <c r="AO641" t="str">
        <f t="shared" si="33"/>
        <v>18-25</v>
      </c>
      <c r="BD641">
        <v>5</v>
      </c>
      <c r="BF641" cm="1">
        <f t="array" ref="BF641">CORREL(J641:J1641,S641:S1641)</f>
        <v>-0.0248591446503006</v>
      </c>
      <c r="BH641">
        <v>9</v>
      </c>
      <c r="BI641">
        <f t="shared" si="31"/>
        <v>0.555555555555556</v>
      </c>
      <c r="BJ641">
        <f t="shared" si="32"/>
        <v>16.2</v>
      </c>
    </row>
    <row r="642" spans="1:62">
      <c r="A642" s="1">
        <v>616271822</v>
      </c>
      <c r="B642">
        <v>39</v>
      </c>
      <c r="C642" t="s">
        <v>73</v>
      </c>
      <c r="D642" t="s">
        <v>74</v>
      </c>
      <c r="E642" t="s">
        <v>98</v>
      </c>
      <c r="F642" t="s">
        <v>62</v>
      </c>
      <c r="G642" t="s">
        <v>74</v>
      </c>
      <c r="H642" t="s">
        <v>820</v>
      </c>
      <c r="I642" t="s">
        <v>209</v>
      </c>
      <c r="J642" s="2">
        <v>446.03</v>
      </c>
      <c r="K642">
        <v>9</v>
      </c>
      <c r="L642" t="s">
        <v>78</v>
      </c>
      <c r="M642">
        <v>2</v>
      </c>
      <c r="N642">
        <v>1</v>
      </c>
      <c r="O642">
        <v>2</v>
      </c>
      <c r="P642" t="s">
        <v>84</v>
      </c>
      <c r="Q642" t="s">
        <v>67</v>
      </c>
      <c r="R642">
        <v>2</v>
      </c>
      <c r="S642">
        <v>7</v>
      </c>
      <c r="T642" t="s">
        <v>66</v>
      </c>
      <c r="U642" t="s">
        <v>68</v>
      </c>
      <c r="V642" t="s">
        <v>96</v>
      </c>
      <c r="W642" s="3">
        <v>45469</v>
      </c>
      <c r="X642" t="b">
        <v>1</v>
      </c>
      <c r="Y642" t="b">
        <v>1</v>
      </c>
      <c r="Z642" t="s">
        <v>70</v>
      </c>
      <c r="AA642" t="s">
        <v>97</v>
      </c>
      <c r="AB642">
        <v>12</v>
      </c>
      <c r="AO642" t="str">
        <f t="shared" si="33"/>
        <v>26-40</v>
      </c>
      <c r="BD642">
        <v>9</v>
      </c>
      <c r="BF642" cm="1">
        <f t="array" ref="BF642">CORREL(J642:J1642,S642:S1642)</f>
        <v>-0.0301884482808095</v>
      </c>
      <c r="BH642">
        <v>7</v>
      </c>
      <c r="BI642">
        <f t="shared" si="31"/>
        <v>1.28571428571429</v>
      </c>
      <c r="BJ642">
        <f t="shared" si="32"/>
        <v>5.44444444444444</v>
      </c>
    </row>
    <row r="643" spans="1:62">
      <c r="A643" s="1">
        <v>893925002</v>
      </c>
      <c r="B643">
        <v>19</v>
      </c>
      <c r="C643" t="s">
        <v>59</v>
      </c>
      <c r="D643" t="s">
        <v>74</v>
      </c>
      <c r="E643" t="s">
        <v>86</v>
      </c>
      <c r="F643" t="s">
        <v>62</v>
      </c>
      <c r="G643" t="s">
        <v>74</v>
      </c>
      <c r="H643" t="s">
        <v>821</v>
      </c>
      <c r="I643" t="s">
        <v>143</v>
      </c>
      <c r="J643" s="2">
        <v>287.95</v>
      </c>
      <c r="K643">
        <v>3</v>
      </c>
      <c r="L643" t="s">
        <v>65</v>
      </c>
      <c r="M643">
        <v>2</v>
      </c>
      <c r="N643">
        <v>3</v>
      </c>
      <c r="O643">
        <v>2</v>
      </c>
      <c r="P643" t="s">
        <v>66</v>
      </c>
      <c r="Q643" t="s">
        <v>109</v>
      </c>
      <c r="R643">
        <v>2</v>
      </c>
      <c r="S643">
        <v>7</v>
      </c>
      <c r="T643" t="s">
        <v>74</v>
      </c>
      <c r="U643" t="s">
        <v>68</v>
      </c>
      <c r="V643" t="s">
        <v>81</v>
      </c>
      <c r="W643" s="3">
        <v>45608</v>
      </c>
      <c r="X643" t="b">
        <v>1</v>
      </c>
      <c r="Y643" t="b">
        <v>1</v>
      </c>
      <c r="Z643" t="s">
        <v>102</v>
      </c>
      <c r="AA643" t="s">
        <v>83</v>
      </c>
      <c r="AB643">
        <v>11</v>
      </c>
      <c r="AO643" t="str">
        <f t="shared" si="33"/>
        <v>18-25</v>
      </c>
      <c r="BD643">
        <v>3</v>
      </c>
      <c r="BF643" cm="1">
        <f t="array" ref="BF643">CORREL(J643:J1643,S643:S1643)</f>
        <v>-0.0322815633943609</v>
      </c>
      <c r="BH643">
        <v>7</v>
      </c>
      <c r="BI643">
        <f t="shared" ref="BI643:BI706" si="34">K643/S643</f>
        <v>0.428571428571429</v>
      </c>
      <c r="BJ643">
        <f t="shared" ref="BJ643:BJ706" si="35">BH643/BI643</f>
        <v>16.3333333333333</v>
      </c>
    </row>
    <row r="644" spans="1:62">
      <c r="A644" s="1">
        <v>715736085</v>
      </c>
      <c r="B644">
        <v>31</v>
      </c>
      <c r="C644" t="s">
        <v>59</v>
      </c>
      <c r="D644" t="s">
        <v>60</v>
      </c>
      <c r="E644" t="s">
        <v>98</v>
      </c>
      <c r="F644" t="s">
        <v>87</v>
      </c>
      <c r="G644" t="s">
        <v>74</v>
      </c>
      <c r="H644" t="s">
        <v>822</v>
      </c>
      <c r="I644" t="s">
        <v>118</v>
      </c>
      <c r="J644" s="2">
        <v>132.52</v>
      </c>
      <c r="K644">
        <v>6</v>
      </c>
      <c r="L644" t="s">
        <v>65</v>
      </c>
      <c r="M644">
        <v>1</v>
      </c>
      <c r="N644">
        <v>2</v>
      </c>
      <c r="O644">
        <v>0</v>
      </c>
      <c r="P644" t="s">
        <v>79</v>
      </c>
      <c r="Q644" t="s">
        <v>67</v>
      </c>
      <c r="R644">
        <v>2</v>
      </c>
      <c r="S644">
        <v>10</v>
      </c>
      <c r="T644" t="s">
        <v>84</v>
      </c>
      <c r="U644" t="s">
        <v>90</v>
      </c>
      <c r="V644" t="s">
        <v>91</v>
      </c>
      <c r="W644" s="3">
        <v>45646</v>
      </c>
      <c r="X644" t="b">
        <v>1</v>
      </c>
      <c r="Y644" t="b">
        <v>1</v>
      </c>
      <c r="Z644" t="s">
        <v>92</v>
      </c>
      <c r="AA644" t="s">
        <v>97</v>
      </c>
      <c r="AB644">
        <v>12</v>
      </c>
      <c r="AO644" t="str">
        <f t="shared" si="33"/>
        <v>26-40</v>
      </c>
      <c r="BD644">
        <v>6</v>
      </c>
      <c r="BF644" cm="1">
        <f t="array" ref="BF644">CORREL(J644:J1644,S644:S1644)</f>
        <v>-0.0323941572370225</v>
      </c>
      <c r="BH644">
        <v>10</v>
      </c>
      <c r="BI644">
        <f t="shared" si="34"/>
        <v>0.6</v>
      </c>
      <c r="BJ644">
        <f t="shared" si="35"/>
        <v>16.6666666666667</v>
      </c>
    </row>
    <row r="645" spans="1:62">
      <c r="A645" s="1">
        <v>918103612</v>
      </c>
      <c r="B645">
        <v>36</v>
      </c>
      <c r="C645" t="s">
        <v>59</v>
      </c>
      <c r="D645" t="s">
        <v>60</v>
      </c>
      <c r="E645" t="s">
        <v>61</v>
      </c>
      <c r="F645" t="s">
        <v>62</v>
      </c>
      <c r="G645" t="s">
        <v>60</v>
      </c>
      <c r="H645" t="s">
        <v>823</v>
      </c>
      <c r="I645" t="s">
        <v>113</v>
      </c>
      <c r="J645" s="2">
        <v>379.2</v>
      </c>
      <c r="K645">
        <v>7</v>
      </c>
      <c r="L645" t="s">
        <v>85</v>
      </c>
      <c r="M645">
        <v>5</v>
      </c>
      <c r="N645">
        <v>1</v>
      </c>
      <c r="O645">
        <v>0</v>
      </c>
      <c r="P645" t="s">
        <v>79</v>
      </c>
      <c r="Q645" t="s">
        <v>109</v>
      </c>
      <c r="R645">
        <v>2</v>
      </c>
      <c r="S645">
        <v>2</v>
      </c>
      <c r="T645" t="s">
        <v>74</v>
      </c>
      <c r="U645" t="s">
        <v>90</v>
      </c>
      <c r="V645" t="s">
        <v>91</v>
      </c>
      <c r="W645" s="3">
        <v>45440</v>
      </c>
      <c r="X645" t="b">
        <v>1</v>
      </c>
      <c r="Y645" t="b">
        <v>1</v>
      </c>
      <c r="Z645" t="s">
        <v>70</v>
      </c>
      <c r="AA645" t="s">
        <v>71</v>
      </c>
      <c r="AB645">
        <v>7</v>
      </c>
      <c r="AO645" t="str">
        <f t="shared" si="33"/>
        <v>26-40</v>
      </c>
      <c r="BD645">
        <v>7</v>
      </c>
      <c r="BF645" cm="1">
        <f t="array" ref="BF645">CORREL(J645:J1645,S645:S1645)</f>
        <v>-0.0274182596603411</v>
      </c>
      <c r="BH645">
        <v>2</v>
      </c>
      <c r="BI645">
        <f t="shared" si="34"/>
        <v>3.5</v>
      </c>
      <c r="BJ645">
        <f t="shared" si="35"/>
        <v>0.571428571428571</v>
      </c>
    </row>
    <row r="646" spans="1:62">
      <c r="A646" s="4" t="s">
        <v>824</v>
      </c>
      <c r="B646">
        <v>31</v>
      </c>
      <c r="C646" t="s">
        <v>150</v>
      </c>
      <c r="D646" t="s">
        <v>60</v>
      </c>
      <c r="E646" t="s">
        <v>61</v>
      </c>
      <c r="F646" t="s">
        <v>75</v>
      </c>
      <c r="G646" t="s">
        <v>74</v>
      </c>
      <c r="H646" t="s">
        <v>825</v>
      </c>
      <c r="I646" t="s">
        <v>156</v>
      </c>
      <c r="J646" s="2">
        <v>447.53</v>
      </c>
      <c r="K646">
        <v>4</v>
      </c>
      <c r="L646" t="s">
        <v>85</v>
      </c>
      <c r="M646">
        <v>2</v>
      </c>
      <c r="N646">
        <v>1</v>
      </c>
      <c r="O646">
        <v>2</v>
      </c>
      <c r="P646" t="s">
        <v>74</v>
      </c>
      <c r="Q646" t="s">
        <v>67</v>
      </c>
      <c r="R646">
        <v>1</v>
      </c>
      <c r="S646">
        <v>6</v>
      </c>
      <c r="T646" t="s">
        <v>66</v>
      </c>
      <c r="U646" t="s">
        <v>90</v>
      </c>
      <c r="V646" t="s">
        <v>81</v>
      </c>
      <c r="W646" s="3">
        <v>45578</v>
      </c>
      <c r="X646" t="b">
        <v>1</v>
      </c>
      <c r="Y646" t="b">
        <v>1</v>
      </c>
      <c r="Z646" t="s">
        <v>82</v>
      </c>
      <c r="AA646" t="s">
        <v>71</v>
      </c>
      <c r="AB646">
        <v>3</v>
      </c>
      <c r="AO646" t="str">
        <f t="shared" si="33"/>
        <v>26-40</v>
      </c>
      <c r="BD646">
        <v>4</v>
      </c>
      <c r="BF646" cm="1">
        <f t="array" ref="BF646">CORREL(J646:J1646,S646:S1646)</f>
        <v>-0.0249806446264701</v>
      </c>
      <c r="BH646">
        <v>6</v>
      </c>
      <c r="BI646">
        <f t="shared" si="34"/>
        <v>0.666666666666667</v>
      </c>
      <c r="BJ646">
        <f t="shared" si="35"/>
        <v>9</v>
      </c>
    </row>
    <row r="647" spans="1:62">
      <c r="A647" s="1">
        <v>810545343</v>
      </c>
      <c r="B647">
        <v>45</v>
      </c>
      <c r="C647" t="s">
        <v>59</v>
      </c>
      <c r="D647" t="s">
        <v>74</v>
      </c>
      <c r="E647" t="s">
        <v>103</v>
      </c>
      <c r="F647" t="s">
        <v>62</v>
      </c>
      <c r="G647" t="s">
        <v>60</v>
      </c>
      <c r="H647" t="s">
        <v>826</v>
      </c>
      <c r="I647" t="s">
        <v>89</v>
      </c>
      <c r="J647" s="2">
        <v>138.44</v>
      </c>
      <c r="K647">
        <v>4</v>
      </c>
      <c r="L647" t="s">
        <v>65</v>
      </c>
      <c r="M647">
        <v>5</v>
      </c>
      <c r="N647">
        <v>1</v>
      </c>
      <c r="O647">
        <v>1</v>
      </c>
      <c r="P647" t="s">
        <v>66</v>
      </c>
      <c r="Q647" t="s">
        <v>109</v>
      </c>
      <c r="R647">
        <v>1</v>
      </c>
      <c r="S647">
        <v>2</v>
      </c>
      <c r="T647" t="s">
        <v>66</v>
      </c>
      <c r="U647" t="s">
        <v>90</v>
      </c>
      <c r="V647" t="s">
        <v>110</v>
      </c>
      <c r="W647" s="3">
        <v>45344</v>
      </c>
      <c r="X647" t="b">
        <v>0</v>
      </c>
      <c r="Y647" t="b">
        <v>1</v>
      </c>
      <c r="Z647" t="s">
        <v>82</v>
      </c>
      <c r="AA647" t="s">
        <v>97</v>
      </c>
      <c r="AB647">
        <v>1</v>
      </c>
      <c r="AO647" t="str">
        <f t="shared" si="33"/>
        <v>41-60</v>
      </c>
      <c r="BD647">
        <v>4</v>
      </c>
      <c r="BF647" cm="1">
        <f t="array" ref="BF647">CORREL(J647:J1647,S647:S1647)</f>
        <v>-0.0258415975065959</v>
      </c>
      <c r="BH647">
        <v>2</v>
      </c>
      <c r="BI647">
        <f t="shared" si="34"/>
        <v>2</v>
      </c>
      <c r="BJ647">
        <f t="shared" si="35"/>
        <v>1</v>
      </c>
    </row>
    <row r="648" spans="1:62">
      <c r="A648" s="1">
        <v>148549545</v>
      </c>
      <c r="B648">
        <v>45</v>
      </c>
      <c r="C648" t="s">
        <v>224</v>
      </c>
      <c r="D648" t="s">
        <v>60</v>
      </c>
      <c r="E648" t="s">
        <v>86</v>
      </c>
      <c r="F648" t="s">
        <v>75</v>
      </c>
      <c r="G648" t="s">
        <v>60</v>
      </c>
      <c r="H648" t="s">
        <v>827</v>
      </c>
      <c r="I648" t="s">
        <v>95</v>
      </c>
      <c r="J648" s="2">
        <v>440.62</v>
      </c>
      <c r="K648">
        <v>8</v>
      </c>
      <c r="L648" t="s">
        <v>65</v>
      </c>
      <c r="M648">
        <v>2</v>
      </c>
      <c r="N648">
        <v>2</v>
      </c>
      <c r="O648">
        <v>2</v>
      </c>
      <c r="P648" t="s">
        <v>66</v>
      </c>
      <c r="Q648" t="s">
        <v>109</v>
      </c>
      <c r="R648">
        <v>1</v>
      </c>
      <c r="S648">
        <v>3</v>
      </c>
      <c r="T648" t="s">
        <v>79</v>
      </c>
      <c r="U648" t="s">
        <v>68</v>
      </c>
      <c r="V648" t="s">
        <v>91</v>
      </c>
      <c r="W648" s="3">
        <v>45323</v>
      </c>
      <c r="X648" t="b">
        <v>1</v>
      </c>
      <c r="Y648" t="b">
        <v>1</v>
      </c>
      <c r="Z648" t="s">
        <v>70</v>
      </c>
      <c r="AA648" t="s">
        <v>97</v>
      </c>
      <c r="AB648">
        <v>6</v>
      </c>
      <c r="AO648" t="str">
        <f t="shared" si="33"/>
        <v>41-60</v>
      </c>
      <c r="BD648">
        <v>8</v>
      </c>
      <c r="BF648" cm="1">
        <f t="array" ref="BF648">CORREL(J648:J1648,S648:S1648)</f>
        <v>-0.0295592266187363</v>
      </c>
      <c r="BH648">
        <v>3</v>
      </c>
      <c r="BI648">
        <f t="shared" si="34"/>
        <v>2.66666666666667</v>
      </c>
      <c r="BJ648">
        <f t="shared" si="35"/>
        <v>1.125</v>
      </c>
    </row>
    <row r="649" spans="1:62">
      <c r="A649" s="1">
        <v>521504629</v>
      </c>
      <c r="B649">
        <v>23</v>
      </c>
      <c r="C649" t="s">
        <v>59</v>
      </c>
      <c r="D649" t="s">
        <v>74</v>
      </c>
      <c r="E649" t="s">
        <v>103</v>
      </c>
      <c r="F649" t="s">
        <v>87</v>
      </c>
      <c r="G649" t="s">
        <v>74</v>
      </c>
      <c r="H649" t="s">
        <v>828</v>
      </c>
      <c r="I649" t="s">
        <v>113</v>
      </c>
      <c r="J649" s="2">
        <v>145.98</v>
      </c>
      <c r="K649">
        <v>4</v>
      </c>
      <c r="L649" t="s">
        <v>78</v>
      </c>
      <c r="M649">
        <v>1</v>
      </c>
      <c r="N649">
        <v>2</v>
      </c>
      <c r="O649">
        <v>1</v>
      </c>
      <c r="P649" t="s">
        <v>84</v>
      </c>
      <c r="Q649" t="s">
        <v>109</v>
      </c>
      <c r="R649">
        <v>2</v>
      </c>
      <c r="S649">
        <v>5</v>
      </c>
      <c r="T649" t="s">
        <v>74</v>
      </c>
      <c r="U649" t="s">
        <v>105</v>
      </c>
      <c r="V649" t="s">
        <v>96</v>
      </c>
      <c r="W649" s="3">
        <v>45551</v>
      </c>
      <c r="X649" t="b">
        <v>0</v>
      </c>
      <c r="Y649" t="b">
        <v>0</v>
      </c>
      <c r="Z649" t="s">
        <v>70</v>
      </c>
      <c r="AA649" t="s">
        <v>71</v>
      </c>
      <c r="AB649">
        <v>1</v>
      </c>
      <c r="AO649" t="str">
        <f t="shared" si="33"/>
        <v>18-25</v>
      </c>
      <c r="BD649">
        <v>4</v>
      </c>
      <c r="BF649" cm="1">
        <f t="array" ref="BF649">CORREL(J649:J1649,S649:S1649)</f>
        <v>-0.0267332642435843</v>
      </c>
      <c r="BH649">
        <v>5</v>
      </c>
      <c r="BI649">
        <f t="shared" si="34"/>
        <v>0.8</v>
      </c>
      <c r="BJ649">
        <f t="shared" si="35"/>
        <v>6.25</v>
      </c>
    </row>
    <row r="650" spans="1:62">
      <c r="A650" s="1">
        <v>489184473</v>
      </c>
      <c r="B650">
        <v>28</v>
      </c>
      <c r="C650" t="s">
        <v>73</v>
      </c>
      <c r="D650" t="s">
        <v>60</v>
      </c>
      <c r="E650" t="s">
        <v>61</v>
      </c>
      <c r="F650" t="s">
        <v>75</v>
      </c>
      <c r="G650" t="s">
        <v>74</v>
      </c>
      <c r="H650" t="s">
        <v>829</v>
      </c>
      <c r="I650" t="s">
        <v>133</v>
      </c>
      <c r="J650" s="2">
        <v>405.66</v>
      </c>
      <c r="K650">
        <v>11</v>
      </c>
      <c r="L650" t="s">
        <v>85</v>
      </c>
      <c r="M650">
        <v>5</v>
      </c>
      <c r="N650">
        <v>2</v>
      </c>
      <c r="O650">
        <v>1</v>
      </c>
      <c r="P650" t="s">
        <v>79</v>
      </c>
      <c r="Q650" t="s">
        <v>67</v>
      </c>
      <c r="R650">
        <v>1</v>
      </c>
      <c r="S650">
        <v>3</v>
      </c>
      <c r="T650" t="s">
        <v>74</v>
      </c>
      <c r="U650" t="s">
        <v>68</v>
      </c>
      <c r="V650" t="s">
        <v>110</v>
      </c>
      <c r="W650" s="3">
        <v>45409</v>
      </c>
      <c r="X650" t="b">
        <v>1</v>
      </c>
      <c r="Y650" t="b">
        <v>0</v>
      </c>
      <c r="Z650" t="s">
        <v>92</v>
      </c>
      <c r="AA650" t="s">
        <v>97</v>
      </c>
      <c r="AB650">
        <v>11</v>
      </c>
      <c r="AO650" t="str">
        <f t="shared" si="33"/>
        <v>26-40</v>
      </c>
      <c r="BD650">
        <v>11</v>
      </c>
      <c r="BF650" cm="1">
        <f t="array" ref="BF650">CORREL(J650:J1650,S650:S1650)</f>
        <v>-0.0271634049975222</v>
      </c>
      <c r="BH650">
        <v>3</v>
      </c>
      <c r="BI650">
        <f t="shared" si="34"/>
        <v>3.66666666666667</v>
      </c>
      <c r="BJ650">
        <f t="shared" si="35"/>
        <v>0.818181818181818</v>
      </c>
    </row>
    <row r="651" spans="1:62">
      <c r="A651" s="4" t="s">
        <v>830</v>
      </c>
      <c r="B651">
        <v>26</v>
      </c>
      <c r="C651" t="s">
        <v>59</v>
      </c>
      <c r="D651" t="s">
        <v>74</v>
      </c>
      <c r="E651" t="s">
        <v>86</v>
      </c>
      <c r="F651" t="s">
        <v>75</v>
      </c>
      <c r="G651" t="s">
        <v>60</v>
      </c>
      <c r="H651" t="s">
        <v>831</v>
      </c>
      <c r="I651" t="s">
        <v>171</v>
      </c>
      <c r="J651" s="2">
        <v>419.98</v>
      </c>
      <c r="K651">
        <v>7</v>
      </c>
      <c r="L651" t="s">
        <v>78</v>
      </c>
      <c r="M651">
        <v>4</v>
      </c>
      <c r="N651">
        <v>4</v>
      </c>
      <c r="O651">
        <v>0</v>
      </c>
      <c r="P651" t="s">
        <v>66</v>
      </c>
      <c r="Q651" t="s">
        <v>109</v>
      </c>
      <c r="R651">
        <v>0</v>
      </c>
      <c r="S651">
        <v>10</v>
      </c>
      <c r="T651" t="s">
        <v>79</v>
      </c>
      <c r="U651" t="s">
        <v>105</v>
      </c>
      <c r="V651" t="s">
        <v>81</v>
      </c>
      <c r="W651" s="3">
        <v>45410</v>
      </c>
      <c r="X651" t="b">
        <v>1</v>
      </c>
      <c r="Y651" t="b">
        <v>1</v>
      </c>
      <c r="Z651" t="s">
        <v>92</v>
      </c>
      <c r="AA651" t="s">
        <v>71</v>
      </c>
      <c r="AB651">
        <v>14</v>
      </c>
      <c r="AO651" t="str">
        <f t="shared" si="33"/>
        <v>26-40</v>
      </c>
      <c r="BD651">
        <v>7</v>
      </c>
      <c r="BF651" cm="1">
        <f t="array" ref="BF651">CORREL(J651:J1651,S651:S1651)</f>
        <v>-0.0249263802714919</v>
      </c>
      <c r="BH651">
        <v>10</v>
      </c>
      <c r="BI651">
        <f t="shared" si="34"/>
        <v>0.7</v>
      </c>
      <c r="BJ651">
        <f t="shared" si="35"/>
        <v>14.2857142857143</v>
      </c>
    </row>
    <row r="652" spans="1:62">
      <c r="A652" s="1">
        <v>670364295</v>
      </c>
      <c r="B652">
        <v>50</v>
      </c>
      <c r="C652" t="s">
        <v>59</v>
      </c>
      <c r="D652" t="s">
        <v>60</v>
      </c>
      <c r="E652" t="s">
        <v>103</v>
      </c>
      <c r="F652" t="s">
        <v>87</v>
      </c>
      <c r="G652" t="s">
        <v>74</v>
      </c>
      <c r="H652" t="s">
        <v>832</v>
      </c>
      <c r="I652" t="s">
        <v>143</v>
      </c>
      <c r="J652" s="2">
        <v>260.14</v>
      </c>
      <c r="K652">
        <v>5</v>
      </c>
      <c r="L652" t="s">
        <v>85</v>
      </c>
      <c r="M652">
        <v>3</v>
      </c>
      <c r="N652">
        <v>2</v>
      </c>
      <c r="O652">
        <v>1</v>
      </c>
      <c r="P652" t="s">
        <v>66</v>
      </c>
      <c r="Q652" t="s">
        <v>67</v>
      </c>
      <c r="R652">
        <v>1</v>
      </c>
      <c r="S652">
        <v>7</v>
      </c>
      <c r="T652" t="s">
        <v>84</v>
      </c>
      <c r="U652" t="s">
        <v>90</v>
      </c>
      <c r="V652" t="s">
        <v>96</v>
      </c>
      <c r="W652" s="3">
        <v>45536</v>
      </c>
      <c r="X652" t="b">
        <v>1</v>
      </c>
      <c r="Y652" t="b">
        <v>1</v>
      </c>
      <c r="Z652" t="s">
        <v>70</v>
      </c>
      <c r="AA652" t="s">
        <v>83</v>
      </c>
      <c r="AB652">
        <v>7</v>
      </c>
      <c r="AO652" t="str">
        <f t="shared" si="33"/>
        <v>41-60</v>
      </c>
      <c r="BD652">
        <v>5</v>
      </c>
      <c r="BF652" cm="1">
        <f t="array" ref="BF652">CORREL(J652:J1652,S652:S1652)</f>
        <v>-0.0300583893791482</v>
      </c>
      <c r="BH652">
        <v>7</v>
      </c>
      <c r="BI652">
        <f t="shared" si="34"/>
        <v>0.714285714285714</v>
      </c>
      <c r="BJ652">
        <f t="shared" si="35"/>
        <v>9.8</v>
      </c>
    </row>
    <row r="653" spans="1:62">
      <c r="A653" s="1">
        <v>358809374</v>
      </c>
      <c r="B653">
        <v>36</v>
      </c>
      <c r="C653" t="s">
        <v>59</v>
      </c>
      <c r="D653" t="s">
        <v>60</v>
      </c>
      <c r="E653" t="s">
        <v>98</v>
      </c>
      <c r="F653" t="s">
        <v>62</v>
      </c>
      <c r="G653" t="s">
        <v>74</v>
      </c>
      <c r="H653" t="s">
        <v>833</v>
      </c>
      <c r="I653" t="s">
        <v>143</v>
      </c>
      <c r="J653" s="2">
        <v>368.91</v>
      </c>
      <c r="K653">
        <v>10</v>
      </c>
      <c r="L653" t="s">
        <v>78</v>
      </c>
      <c r="M653">
        <v>1</v>
      </c>
      <c r="N653">
        <v>3</v>
      </c>
      <c r="O653">
        <v>2</v>
      </c>
      <c r="P653" t="s">
        <v>74</v>
      </c>
      <c r="Q653" t="s">
        <v>80</v>
      </c>
      <c r="R653">
        <v>2</v>
      </c>
      <c r="S653">
        <v>10</v>
      </c>
      <c r="T653" t="s">
        <v>74</v>
      </c>
      <c r="U653" t="s">
        <v>105</v>
      </c>
      <c r="V653" t="s">
        <v>91</v>
      </c>
      <c r="W653" s="3">
        <v>45372</v>
      </c>
      <c r="X653" t="b">
        <v>0</v>
      </c>
      <c r="Y653" t="b">
        <v>0</v>
      </c>
      <c r="Z653" t="s">
        <v>70</v>
      </c>
      <c r="AA653" t="s">
        <v>71</v>
      </c>
      <c r="AB653">
        <v>7</v>
      </c>
      <c r="AO653" t="str">
        <f t="shared" si="33"/>
        <v>26-40</v>
      </c>
      <c r="BD653">
        <v>10</v>
      </c>
      <c r="BF653" cm="1">
        <f t="array" ref="BF653">CORREL(J653:J1653,S653:S1653)</f>
        <v>-0.0298351045802794</v>
      </c>
      <c r="BH653">
        <v>10</v>
      </c>
      <c r="BI653">
        <f t="shared" si="34"/>
        <v>1</v>
      </c>
      <c r="BJ653">
        <f t="shared" si="35"/>
        <v>10</v>
      </c>
    </row>
    <row r="654" spans="1:62">
      <c r="A654" s="4" t="s">
        <v>834</v>
      </c>
      <c r="B654">
        <v>32</v>
      </c>
      <c r="C654" t="s">
        <v>73</v>
      </c>
      <c r="D654" t="s">
        <v>60</v>
      </c>
      <c r="E654" t="s">
        <v>98</v>
      </c>
      <c r="F654" t="s">
        <v>87</v>
      </c>
      <c r="G654" t="s">
        <v>60</v>
      </c>
      <c r="H654" t="s">
        <v>835</v>
      </c>
      <c r="I654" t="s">
        <v>95</v>
      </c>
      <c r="J654" s="2">
        <v>100.32</v>
      </c>
      <c r="K654">
        <v>2</v>
      </c>
      <c r="L654" t="s">
        <v>78</v>
      </c>
      <c r="M654">
        <v>5</v>
      </c>
      <c r="N654">
        <v>1</v>
      </c>
      <c r="O654">
        <v>1</v>
      </c>
      <c r="P654" t="s">
        <v>84</v>
      </c>
      <c r="Q654" t="s">
        <v>109</v>
      </c>
      <c r="R654">
        <v>0</v>
      </c>
      <c r="S654">
        <v>1</v>
      </c>
      <c r="T654" t="s">
        <v>79</v>
      </c>
      <c r="U654" t="s">
        <v>68</v>
      </c>
      <c r="V654" t="s">
        <v>69</v>
      </c>
      <c r="W654" s="3">
        <v>45637</v>
      </c>
      <c r="X654" t="b">
        <v>0</v>
      </c>
      <c r="Y654" t="b">
        <v>1</v>
      </c>
      <c r="Z654" t="s">
        <v>102</v>
      </c>
      <c r="AA654" t="s">
        <v>97</v>
      </c>
      <c r="AB654">
        <v>8</v>
      </c>
      <c r="AO654" t="str">
        <f t="shared" si="33"/>
        <v>26-40</v>
      </c>
      <c r="BD654">
        <v>2</v>
      </c>
      <c r="BF654" cm="1">
        <f t="array" ref="BF654">CORREL(J654:J1654,S654:S1654)</f>
        <v>-0.033192329649227</v>
      </c>
      <c r="BH654">
        <v>1</v>
      </c>
      <c r="BI654">
        <f t="shared" si="34"/>
        <v>2</v>
      </c>
      <c r="BJ654">
        <f t="shared" si="35"/>
        <v>0.5</v>
      </c>
    </row>
    <row r="655" spans="1:62">
      <c r="A655" s="1">
        <v>358790014</v>
      </c>
      <c r="B655">
        <v>34</v>
      </c>
      <c r="C655" t="s">
        <v>73</v>
      </c>
      <c r="D655" t="s">
        <v>74</v>
      </c>
      <c r="E655" t="s">
        <v>61</v>
      </c>
      <c r="F655" t="s">
        <v>87</v>
      </c>
      <c r="G655" t="s">
        <v>60</v>
      </c>
      <c r="H655" t="s">
        <v>836</v>
      </c>
      <c r="I655" t="s">
        <v>77</v>
      </c>
      <c r="J655" s="2">
        <v>107.82</v>
      </c>
      <c r="K655">
        <v>7</v>
      </c>
      <c r="L655" t="s">
        <v>65</v>
      </c>
      <c r="M655">
        <v>5</v>
      </c>
      <c r="N655">
        <v>3</v>
      </c>
      <c r="O655">
        <v>2</v>
      </c>
      <c r="P655" t="s">
        <v>74</v>
      </c>
      <c r="Q655" t="s">
        <v>109</v>
      </c>
      <c r="R655">
        <v>2</v>
      </c>
      <c r="S655">
        <v>10</v>
      </c>
      <c r="T655" t="s">
        <v>84</v>
      </c>
      <c r="U655" t="s">
        <v>90</v>
      </c>
      <c r="V655" t="s">
        <v>69</v>
      </c>
      <c r="W655" s="3">
        <v>45630</v>
      </c>
      <c r="X655" t="b">
        <v>0</v>
      </c>
      <c r="Y655" t="b">
        <v>1</v>
      </c>
      <c r="Z655" t="s">
        <v>82</v>
      </c>
      <c r="AA655" t="s">
        <v>71</v>
      </c>
      <c r="AB655">
        <v>2</v>
      </c>
      <c r="AO655" t="str">
        <f t="shared" si="33"/>
        <v>26-40</v>
      </c>
      <c r="BD655">
        <v>7</v>
      </c>
      <c r="BF655" cm="1">
        <f t="array" ref="BF655">CORREL(J655:J1655,S655:S1655)</f>
        <v>-0.0394765942562048</v>
      </c>
      <c r="BH655">
        <v>10</v>
      </c>
      <c r="BI655">
        <f t="shared" si="34"/>
        <v>0.7</v>
      </c>
      <c r="BJ655">
        <f t="shared" si="35"/>
        <v>14.2857142857143</v>
      </c>
    </row>
    <row r="656" spans="1:62">
      <c r="A656" s="1">
        <v>915702695</v>
      </c>
      <c r="B656">
        <v>50</v>
      </c>
      <c r="C656" t="s">
        <v>73</v>
      </c>
      <c r="D656" t="s">
        <v>60</v>
      </c>
      <c r="E656" t="s">
        <v>61</v>
      </c>
      <c r="F656" t="s">
        <v>75</v>
      </c>
      <c r="G656" t="s">
        <v>60</v>
      </c>
      <c r="H656" t="s">
        <v>837</v>
      </c>
      <c r="I656" t="s">
        <v>135</v>
      </c>
      <c r="J656" s="2">
        <v>83.88</v>
      </c>
      <c r="K656">
        <v>11</v>
      </c>
      <c r="L656" t="s">
        <v>85</v>
      </c>
      <c r="M656">
        <v>4</v>
      </c>
      <c r="N656">
        <v>2</v>
      </c>
      <c r="O656">
        <v>1</v>
      </c>
      <c r="P656" t="s">
        <v>79</v>
      </c>
      <c r="Q656" t="s">
        <v>80</v>
      </c>
      <c r="R656">
        <v>0</v>
      </c>
      <c r="S656">
        <v>6</v>
      </c>
      <c r="T656" t="s">
        <v>84</v>
      </c>
      <c r="U656" t="s">
        <v>105</v>
      </c>
      <c r="V656" t="s">
        <v>96</v>
      </c>
      <c r="W656" s="3">
        <v>45346</v>
      </c>
      <c r="X656" t="b">
        <v>1</v>
      </c>
      <c r="Y656" t="b">
        <v>1</v>
      </c>
      <c r="Z656" t="s">
        <v>102</v>
      </c>
      <c r="AA656" t="s">
        <v>97</v>
      </c>
      <c r="AB656">
        <v>4</v>
      </c>
      <c r="AO656" t="str">
        <f t="shared" si="33"/>
        <v>41-60</v>
      </c>
      <c r="BD656">
        <v>11</v>
      </c>
      <c r="BF656" cm="1">
        <f t="array" ref="BF656">CORREL(J656:J1656,S656:S1656)</f>
        <v>-0.0334887142880281</v>
      </c>
      <c r="BH656">
        <v>6</v>
      </c>
      <c r="BI656">
        <f t="shared" si="34"/>
        <v>1.83333333333333</v>
      </c>
      <c r="BJ656">
        <f t="shared" si="35"/>
        <v>3.27272727272727</v>
      </c>
    </row>
    <row r="657" spans="1:62">
      <c r="A657" s="1">
        <v>541933526</v>
      </c>
      <c r="B657">
        <v>24</v>
      </c>
      <c r="C657" t="s">
        <v>59</v>
      </c>
      <c r="D657" t="s">
        <v>60</v>
      </c>
      <c r="E657" t="s">
        <v>98</v>
      </c>
      <c r="F657" t="s">
        <v>62</v>
      </c>
      <c r="G657" t="s">
        <v>60</v>
      </c>
      <c r="H657" t="s">
        <v>838</v>
      </c>
      <c r="I657" t="s">
        <v>178</v>
      </c>
      <c r="J657" s="2">
        <v>81.25</v>
      </c>
      <c r="K657">
        <v>9</v>
      </c>
      <c r="L657" t="s">
        <v>85</v>
      </c>
      <c r="M657">
        <v>1</v>
      </c>
      <c r="N657">
        <v>2</v>
      </c>
      <c r="O657">
        <v>1</v>
      </c>
      <c r="P657" t="s">
        <v>84</v>
      </c>
      <c r="Q657" t="s">
        <v>109</v>
      </c>
      <c r="R657">
        <v>2</v>
      </c>
      <c r="S657">
        <v>8</v>
      </c>
      <c r="T657" t="s">
        <v>79</v>
      </c>
      <c r="U657" t="s">
        <v>105</v>
      </c>
      <c r="V657" t="s">
        <v>110</v>
      </c>
      <c r="W657" s="3">
        <v>45436</v>
      </c>
      <c r="X657" t="b">
        <v>1</v>
      </c>
      <c r="Y657" t="b">
        <v>1</v>
      </c>
      <c r="Z657" t="s">
        <v>102</v>
      </c>
      <c r="AA657" t="s">
        <v>71</v>
      </c>
      <c r="AB657">
        <v>10</v>
      </c>
      <c r="AO657" t="str">
        <f t="shared" si="33"/>
        <v>18-25</v>
      </c>
      <c r="BD657">
        <v>9</v>
      </c>
      <c r="BF657" cm="1">
        <f t="array" ref="BF657">CORREL(J657:J1657,S657:S1657)</f>
        <v>-0.0326048743333035</v>
      </c>
      <c r="BH657">
        <v>8</v>
      </c>
      <c r="BI657">
        <f t="shared" si="34"/>
        <v>1.125</v>
      </c>
      <c r="BJ657">
        <f t="shared" si="35"/>
        <v>7.11111111111111</v>
      </c>
    </row>
    <row r="658" spans="1:62">
      <c r="A658" s="1">
        <v>552377991</v>
      </c>
      <c r="B658">
        <v>49</v>
      </c>
      <c r="C658" t="s">
        <v>73</v>
      </c>
      <c r="D658" t="s">
        <v>60</v>
      </c>
      <c r="E658" t="s">
        <v>98</v>
      </c>
      <c r="F658" t="s">
        <v>87</v>
      </c>
      <c r="G658" t="s">
        <v>74</v>
      </c>
      <c r="H658" t="s">
        <v>839</v>
      </c>
      <c r="I658" t="s">
        <v>95</v>
      </c>
      <c r="J658" s="2">
        <v>125.8</v>
      </c>
      <c r="K658">
        <v>12</v>
      </c>
      <c r="L658" t="s">
        <v>78</v>
      </c>
      <c r="M658">
        <v>4</v>
      </c>
      <c r="N658">
        <v>4</v>
      </c>
      <c r="O658">
        <v>2</v>
      </c>
      <c r="P658" t="s">
        <v>66</v>
      </c>
      <c r="Q658" t="s">
        <v>67</v>
      </c>
      <c r="R658">
        <v>0</v>
      </c>
      <c r="S658">
        <v>8</v>
      </c>
      <c r="T658" t="s">
        <v>74</v>
      </c>
      <c r="U658" t="s">
        <v>105</v>
      </c>
      <c r="V658" t="s">
        <v>81</v>
      </c>
      <c r="W658" s="3">
        <v>45430</v>
      </c>
      <c r="X658" t="b">
        <v>0</v>
      </c>
      <c r="Y658" t="b">
        <v>1</v>
      </c>
      <c r="Z658" t="s">
        <v>102</v>
      </c>
      <c r="AA658" t="s">
        <v>71</v>
      </c>
      <c r="AB658">
        <v>1</v>
      </c>
      <c r="AO658" t="str">
        <f t="shared" si="33"/>
        <v>41-60</v>
      </c>
      <c r="BD658">
        <v>12</v>
      </c>
      <c r="BF658" cm="1">
        <f t="array" ref="BF658">CORREL(J658:J1658,S658:S1658)</f>
        <v>-0.0285828086120737</v>
      </c>
      <c r="BH658">
        <v>8</v>
      </c>
      <c r="BI658">
        <f t="shared" si="34"/>
        <v>1.5</v>
      </c>
      <c r="BJ658">
        <f t="shared" si="35"/>
        <v>5.33333333333333</v>
      </c>
    </row>
    <row r="659" spans="1:62">
      <c r="A659" s="1">
        <v>905697391</v>
      </c>
      <c r="B659">
        <v>18</v>
      </c>
      <c r="C659" t="s">
        <v>59</v>
      </c>
      <c r="D659" t="s">
        <v>60</v>
      </c>
      <c r="E659" t="s">
        <v>86</v>
      </c>
      <c r="F659" t="s">
        <v>62</v>
      </c>
      <c r="G659" t="s">
        <v>60</v>
      </c>
      <c r="H659" t="s">
        <v>840</v>
      </c>
      <c r="I659" t="s">
        <v>147</v>
      </c>
      <c r="J659" s="2">
        <v>197.9</v>
      </c>
      <c r="K659">
        <v>11</v>
      </c>
      <c r="L659" t="s">
        <v>65</v>
      </c>
      <c r="M659">
        <v>2</v>
      </c>
      <c r="N659">
        <v>4</v>
      </c>
      <c r="O659">
        <v>2</v>
      </c>
      <c r="P659" t="s">
        <v>79</v>
      </c>
      <c r="Q659" t="s">
        <v>80</v>
      </c>
      <c r="R659">
        <v>1</v>
      </c>
      <c r="S659">
        <v>4</v>
      </c>
      <c r="T659" t="s">
        <v>84</v>
      </c>
      <c r="U659" t="s">
        <v>105</v>
      </c>
      <c r="V659" t="s">
        <v>91</v>
      </c>
      <c r="W659" s="3">
        <v>45384</v>
      </c>
      <c r="X659" t="b">
        <v>1</v>
      </c>
      <c r="Y659" t="b">
        <v>1</v>
      </c>
      <c r="Z659" t="s">
        <v>82</v>
      </c>
      <c r="AA659" t="s">
        <v>83</v>
      </c>
      <c r="AB659">
        <v>5</v>
      </c>
      <c r="AO659" t="str">
        <f t="shared" si="33"/>
        <v>18-25</v>
      </c>
      <c r="BD659">
        <v>11</v>
      </c>
      <c r="BF659" cm="1">
        <f t="array" ref="BF659">CORREL(J659:J1659,S659:S1659)</f>
        <v>-0.0254060758511469</v>
      </c>
      <c r="BH659">
        <v>4</v>
      </c>
      <c r="BI659">
        <f t="shared" si="34"/>
        <v>2.75</v>
      </c>
      <c r="BJ659">
        <f t="shared" si="35"/>
        <v>1.45454545454545</v>
      </c>
    </row>
    <row r="660" spans="1:62">
      <c r="A660" s="1">
        <v>883958741</v>
      </c>
      <c r="B660">
        <v>44</v>
      </c>
      <c r="C660" t="s">
        <v>73</v>
      </c>
      <c r="D660" t="s">
        <v>74</v>
      </c>
      <c r="E660" t="s">
        <v>103</v>
      </c>
      <c r="F660" t="s">
        <v>75</v>
      </c>
      <c r="G660" t="s">
        <v>60</v>
      </c>
      <c r="H660" t="s">
        <v>841</v>
      </c>
      <c r="I660" t="s">
        <v>178</v>
      </c>
      <c r="J660" s="2">
        <v>299.09</v>
      </c>
      <c r="K660">
        <v>8</v>
      </c>
      <c r="L660" t="s">
        <v>78</v>
      </c>
      <c r="M660">
        <v>1</v>
      </c>
      <c r="N660">
        <v>1</v>
      </c>
      <c r="O660">
        <v>2</v>
      </c>
      <c r="P660" t="s">
        <v>74</v>
      </c>
      <c r="Q660" t="s">
        <v>109</v>
      </c>
      <c r="R660">
        <v>2</v>
      </c>
      <c r="S660">
        <v>7</v>
      </c>
      <c r="T660" t="s">
        <v>74</v>
      </c>
      <c r="U660" t="s">
        <v>68</v>
      </c>
      <c r="V660" t="s">
        <v>91</v>
      </c>
      <c r="W660" s="3">
        <v>45467</v>
      </c>
      <c r="X660" t="b">
        <v>0</v>
      </c>
      <c r="Y660" t="b">
        <v>0</v>
      </c>
      <c r="Z660" t="s">
        <v>92</v>
      </c>
      <c r="AA660" t="s">
        <v>83</v>
      </c>
      <c r="AB660">
        <v>14</v>
      </c>
      <c r="AO660" t="str">
        <f t="shared" si="33"/>
        <v>41-60</v>
      </c>
      <c r="BD660">
        <v>8</v>
      </c>
      <c r="BF660" cm="1">
        <f t="array" ref="BF660">CORREL(J660:J1660,S660:S1660)</f>
        <v>-0.026322231206209</v>
      </c>
      <c r="BH660">
        <v>7</v>
      </c>
      <c r="BI660">
        <f t="shared" si="34"/>
        <v>1.14285714285714</v>
      </c>
      <c r="BJ660">
        <f t="shared" si="35"/>
        <v>6.125</v>
      </c>
    </row>
    <row r="661" spans="1:62">
      <c r="A661" s="4" t="s">
        <v>842</v>
      </c>
      <c r="B661">
        <v>41</v>
      </c>
      <c r="C661" t="s">
        <v>73</v>
      </c>
      <c r="D661" t="s">
        <v>74</v>
      </c>
      <c r="E661" t="s">
        <v>61</v>
      </c>
      <c r="F661" t="s">
        <v>75</v>
      </c>
      <c r="G661" t="s">
        <v>60</v>
      </c>
      <c r="H661" t="s">
        <v>843</v>
      </c>
      <c r="I661" t="s">
        <v>178</v>
      </c>
      <c r="J661" s="2">
        <v>79.3</v>
      </c>
      <c r="K661">
        <v>10</v>
      </c>
      <c r="L661" t="s">
        <v>85</v>
      </c>
      <c r="M661">
        <v>3</v>
      </c>
      <c r="N661">
        <v>2</v>
      </c>
      <c r="O661">
        <v>1</v>
      </c>
      <c r="P661" t="s">
        <v>84</v>
      </c>
      <c r="Q661" t="s">
        <v>67</v>
      </c>
      <c r="R661">
        <v>2</v>
      </c>
      <c r="S661">
        <v>4</v>
      </c>
      <c r="T661" t="s">
        <v>74</v>
      </c>
      <c r="U661" t="s">
        <v>90</v>
      </c>
      <c r="V661" t="s">
        <v>91</v>
      </c>
      <c r="W661" s="3">
        <v>45538</v>
      </c>
      <c r="X661" t="b">
        <v>0</v>
      </c>
      <c r="Y661" t="b">
        <v>0</v>
      </c>
      <c r="Z661" t="s">
        <v>102</v>
      </c>
      <c r="AA661" t="s">
        <v>71</v>
      </c>
      <c r="AB661">
        <v>2</v>
      </c>
      <c r="AO661" t="str">
        <f t="shared" si="33"/>
        <v>41-60</v>
      </c>
      <c r="BD661">
        <v>10</v>
      </c>
      <c r="BF661" cm="1">
        <f t="array" ref="BF661">CORREL(J661:J1661,S661:S1661)</f>
        <v>-0.0265636453821261</v>
      </c>
      <c r="BH661">
        <v>4</v>
      </c>
      <c r="BI661">
        <f t="shared" si="34"/>
        <v>2.5</v>
      </c>
      <c r="BJ661">
        <f t="shared" si="35"/>
        <v>1.6</v>
      </c>
    </row>
    <row r="662" spans="1:62">
      <c r="A662" s="1">
        <v>842087045</v>
      </c>
      <c r="B662">
        <v>33</v>
      </c>
      <c r="C662" t="s">
        <v>73</v>
      </c>
      <c r="D662" t="s">
        <v>74</v>
      </c>
      <c r="E662" t="s">
        <v>103</v>
      </c>
      <c r="F662" t="s">
        <v>75</v>
      </c>
      <c r="G662" t="s">
        <v>74</v>
      </c>
      <c r="H662" t="s">
        <v>844</v>
      </c>
      <c r="I662" t="s">
        <v>107</v>
      </c>
      <c r="J662" s="2">
        <v>55.73</v>
      </c>
      <c r="K662">
        <v>12</v>
      </c>
      <c r="L662" t="s">
        <v>78</v>
      </c>
      <c r="M662">
        <v>4</v>
      </c>
      <c r="N662">
        <v>3</v>
      </c>
      <c r="O662">
        <v>0.3</v>
      </c>
      <c r="P662" t="s">
        <v>79</v>
      </c>
      <c r="Q662" t="s">
        <v>80</v>
      </c>
      <c r="R662">
        <v>1</v>
      </c>
      <c r="S662">
        <v>3</v>
      </c>
      <c r="T662" t="s">
        <v>74</v>
      </c>
      <c r="U662" t="s">
        <v>68</v>
      </c>
      <c r="V662" t="s">
        <v>81</v>
      </c>
      <c r="W662" s="3">
        <v>45431</v>
      </c>
      <c r="X662" t="b">
        <v>0</v>
      </c>
      <c r="Y662" t="b">
        <v>1</v>
      </c>
      <c r="Z662" t="s">
        <v>70</v>
      </c>
      <c r="AA662" t="s">
        <v>97</v>
      </c>
      <c r="AB662">
        <v>3</v>
      </c>
      <c r="AO662" t="str">
        <f t="shared" si="33"/>
        <v>26-40</v>
      </c>
      <c r="BD662">
        <v>12</v>
      </c>
      <c r="BF662" cm="1">
        <f t="array" ref="BF662">CORREL(J662:J1662,S662:S1662)</f>
        <v>-0.0288309613677885</v>
      </c>
      <c r="BH662">
        <v>3</v>
      </c>
      <c r="BI662">
        <f t="shared" si="34"/>
        <v>4</v>
      </c>
      <c r="BJ662">
        <f t="shared" si="35"/>
        <v>0.75</v>
      </c>
    </row>
    <row r="663" spans="1:62">
      <c r="A663" s="1">
        <v>715680867</v>
      </c>
      <c r="B663">
        <v>46</v>
      </c>
      <c r="C663" t="s">
        <v>73</v>
      </c>
      <c r="D663" t="s">
        <v>74</v>
      </c>
      <c r="E663" t="s">
        <v>86</v>
      </c>
      <c r="F663" t="s">
        <v>62</v>
      </c>
      <c r="G663" t="s">
        <v>74</v>
      </c>
      <c r="H663" t="s">
        <v>845</v>
      </c>
      <c r="I663" t="s">
        <v>133</v>
      </c>
      <c r="J663" s="2">
        <v>256.44</v>
      </c>
      <c r="K663">
        <v>8</v>
      </c>
      <c r="L663" t="s">
        <v>78</v>
      </c>
      <c r="M663">
        <v>4</v>
      </c>
      <c r="N663">
        <v>1</v>
      </c>
      <c r="O663">
        <v>2</v>
      </c>
      <c r="P663" t="s">
        <v>74</v>
      </c>
      <c r="Q663" t="s">
        <v>67</v>
      </c>
      <c r="R663">
        <v>1</v>
      </c>
      <c r="S663">
        <v>6</v>
      </c>
      <c r="T663" t="s">
        <v>79</v>
      </c>
      <c r="U663" t="s">
        <v>68</v>
      </c>
      <c r="V663" t="s">
        <v>96</v>
      </c>
      <c r="W663" s="3">
        <v>45508</v>
      </c>
      <c r="X663" t="b">
        <v>0</v>
      </c>
      <c r="Y663" t="b">
        <v>0</v>
      </c>
      <c r="Z663" t="s">
        <v>82</v>
      </c>
      <c r="AA663" t="s">
        <v>97</v>
      </c>
      <c r="AB663">
        <v>3</v>
      </c>
      <c r="AO663" t="str">
        <f t="shared" si="33"/>
        <v>41-60</v>
      </c>
      <c r="BD663">
        <v>8</v>
      </c>
      <c r="BF663" cm="1">
        <f t="array" ref="BF663">CORREL(J663:J1663,S663:S1663)</f>
        <v>-0.0332521278895232</v>
      </c>
      <c r="BH663">
        <v>6</v>
      </c>
      <c r="BI663">
        <f t="shared" si="34"/>
        <v>1.33333333333333</v>
      </c>
      <c r="BJ663">
        <f t="shared" si="35"/>
        <v>4.5</v>
      </c>
    </row>
    <row r="664" spans="1:62">
      <c r="A664" s="1">
        <v>189251867</v>
      </c>
      <c r="B664">
        <v>23</v>
      </c>
      <c r="C664" t="s">
        <v>59</v>
      </c>
      <c r="D664" t="s">
        <v>74</v>
      </c>
      <c r="E664" t="s">
        <v>61</v>
      </c>
      <c r="F664" t="s">
        <v>62</v>
      </c>
      <c r="G664" t="s">
        <v>74</v>
      </c>
      <c r="H664" t="s">
        <v>846</v>
      </c>
      <c r="I664" t="s">
        <v>137</v>
      </c>
      <c r="J664" s="2">
        <v>337.21</v>
      </c>
      <c r="K664">
        <v>12</v>
      </c>
      <c r="L664" t="s">
        <v>85</v>
      </c>
      <c r="M664">
        <v>1</v>
      </c>
      <c r="N664">
        <v>5</v>
      </c>
      <c r="O664">
        <v>1</v>
      </c>
      <c r="P664" t="s">
        <v>84</v>
      </c>
      <c r="Q664" t="s">
        <v>67</v>
      </c>
      <c r="R664">
        <v>0</v>
      </c>
      <c r="S664">
        <v>9</v>
      </c>
      <c r="T664" t="s">
        <v>66</v>
      </c>
      <c r="U664" t="s">
        <v>90</v>
      </c>
      <c r="V664" t="s">
        <v>91</v>
      </c>
      <c r="W664" s="3">
        <v>45589</v>
      </c>
      <c r="X664" t="b">
        <v>1</v>
      </c>
      <c r="Y664" t="b">
        <v>1</v>
      </c>
      <c r="Z664" t="s">
        <v>102</v>
      </c>
      <c r="AA664" t="s">
        <v>97</v>
      </c>
      <c r="AB664">
        <v>11</v>
      </c>
      <c r="AO664" t="str">
        <f t="shared" si="33"/>
        <v>18-25</v>
      </c>
      <c r="BD664">
        <v>12</v>
      </c>
      <c r="BF664" cm="1">
        <f t="array" ref="BF664">CORREL(J664:J1664,S664:S1664)</f>
        <v>-0.0331180387826142</v>
      </c>
      <c r="BH664">
        <v>9</v>
      </c>
      <c r="BI664">
        <f t="shared" si="34"/>
        <v>1.33333333333333</v>
      </c>
      <c r="BJ664">
        <f t="shared" si="35"/>
        <v>6.75</v>
      </c>
    </row>
    <row r="665" spans="1:62">
      <c r="A665" s="1">
        <v>693941424</v>
      </c>
      <c r="B665">
        <v>35</v>
      </c>
      <c r="C665" t="s">
        <v>59</v>
      </c>
      <c r="D665" t="s">
        <v>74</v>
      </c>
      <c r="E665" t="s">
        <v>86</v>
      </c>
      <c r="F665" t="s">
        <v>87</v>
      </c>
      <c r="G665" t="s">
        <v>60</v>
      </c>
      <c r="H665" t="s">
        <v>847</v>
      </c>
      <c r="I665" t="s">
        <v>133</v>
      </c>
      <c r="J665" s="2">
        <v>494.97</v>
      </c>
      <c r="K665">
        <v>12</v>
      </c>
      <c r="L665" t="s">
        <v>78</v>
      </c>
      <c r="M665">
        <v>5</v>
      </c>
      <c r="N665">
        <v>4</v>
      </c>
      <c r="O665">
        <v>2</v>
      </c>
      <c r="P665" t="s">
        <v>84</v>
      </c>
      <c r="Q665" t="s">
        <v>80</v>
      </c>
      <c r="R665">
        <v>1</v>
      </c>
      <c r="S665">
        <v>5</v>
      </c>
      <c r="T665" t="s">
        <v>84</v>
      </c>
      <c r="U665" t="s">
        <v>68</v>
      </c>
      <c r="V665" t="s">
        <v>91</v>
      </c>
      <c r="W665" s="3">
        <v>45520</v>
      </c>
      <c r="X665" t="b">
        <v>0</v>
      </c>
      <c r="Y665" t="b">
        <v>0</v>
      </c>
      <c r="Z665" t="s">
        <v>102</v>
      </c>
      <c r="AA665" t="s">
        <v>71</v>
      </c>
      <c r="AB665">
        <v>7</v>
      </c>
      <c r="AO665" t="str">
        <f t="shared" si="33"/>
        <v>26-40</v>
      </c>
      <c r="BD665">
        <v>12</v>
      </c>
      <c r="BF665" cm="1">
        <f t="array" ref="BF665">CORREL(J665:J1665,S665:S1665)</f>
        <v>-0.0348007248118576</v>
      </c>
      <c r="BH665">
        <v>5</v>
      </c>
      <c r="BI665">
        <f t="shared" si="34"/>
        <v>2.4</v>
      </c>
      <c r="BJ665">
        <f t="shared" si="35"/>
        <v>2.08333333333333</v>
      </c>
    </row>
    <row r="666" spans="1:62">
      <c r="A666" s="1">
        <v>916958237</v>
      </c>
      <c r="B666">
        <v>31</v>
      </c>
      <c r="C666" t="s">
        <v>59</v>
      </c>
      <c r="D666" t="s">
        <v>60</v>
      </c>
      <c r="E666" t="s">
        <v>98</v>
      </c>
      <c r="F666" t="s">
        <v>75</v>
      </c>
      <c r="G666" t="s">
        <v>74</v>
      </c>
      <c r="H666" t="s">
        <v>848</v>
      </c>
      <c r="I666" t="s">
        <v>143</v>
      </c>
      <c r="J666" s="2">
        <v>238.58</v>
      </c>
      <c r="K666">
        <v>6</v>
      </c>
      <c r="L666" t="s">
        <v>85</v>
      </c>
      <c r="M666">
        <v>3</v>
      </c>
      <c r="N666">
        <v>2</v>
      </c>
      <c r="O666">
        <v>2</v>
      </c>
      <c r="P666" t="s">
        <v>79</v>
      </c>
      <c r="Q666" t="s">
        <v>109</v>
      </c>
      <c r="R666">
        <v>2</v>
      </c>
      <c r="S666">
        <v>9</v>
      </c>
      <c r="T666" t="s">
        <v>79</v>
      </c>
      <c r="U666" t="s">
        <v>68</v>
      </c>
      <c r="V666" t="s">
        <v>81</v>
      </c>
      <c r="W666" s="3">
        <v>45454</v>
      </c>
      <c r="X666" t="b">
        <v>1</v>
      </c>
      <c r="Y666" t="b">
        <v>1</v>
      </c>
      <c r="Z666" t="s">
        <v>82</v>
      </c>
      <c r="AA666" t="s">
        <v>83</v>
      </c>
      <c r="AB666">
        <v>8</v>
      </c>
      <c r="AO666" t="str">
        <f t="shared" si="33"/>
        <v>26-40</v>
      </c>
      <c r="BD666">
        <v>6</v>
      </c>
      <c r="BF666" cm="1">
        <f t="array" ref="BF666">CORREL(J666:J1666,S666:S1666)</f>
        <v>-0.0343542644171174</v>
      </c>
      <c r="BH666">
        <v>9</v>
      </c>
      <c r="BI666">
        <f t="shared" si="34"/>
        <v>0.666666666666667</v>
      </c>
      <c r="BJ666">
        <f t="shared" si="35"/>
        <v>13.5</v>
      </c>
    </row>
    <row r="667" spans="1:62">
      <c r="A667" s="1">
        <v>684580904</v>
      </c>
      <c r="B667">
        <v>20</v>
      </c>
      <c r="C667" t="s">
        <v>59</v>
      </c>
      <c r="D667" t="s">
        <v>74</v>
      </c>
      <c r="E667" t="s">
        <v>86</v>
      </c>
      <c r="F667" t="s">
        <v>62</v>
      </c>
      <c r="G667" t="s">
        <v>74</v>
      </c>
      <c r="H667" t="s">
        <v>849</v>
      </c>
      <c r="I667" t="s">
        <v>113</v>
      </c>
      <c r="J667" s="2">
        <v>131.9</v>
      </c>
      <c r="K667">
        <v>8</v>
      </c>
      <c r="L667" t="s">
        <v>65</v>
      </c>
      <c r="M667">
        <v>3</v>
      </c>
      <c r="N667">
        <v>5</v>
      </c>
      <c r="O667">
        <v>0</v>
      </c>
      <c r="P667" t="s">
        <v>66</v>
      </c>
      <c r="Q667" t="s">
        <v>80</v>
      </c>
      <c r="R667">
        <v>2</v>
      </c>
      <c r="S667">
        <v>4</v>
      </c>
      <c r="T667" t="s">
        <v>79</v>
      </c>
      <c r="U667" t="s">
        <v>68</v>
      </c>
      <c r="V667" t="s">
        <v>69</v>
      </c>
      <c r="W667" s="3">
        <v>45597</v>
      </c>
      <c r="X667" t="b">
        <v>1</v>
      </c>
      <c r="Y667" t="b">
        <v>1</v>
      </c>
      <c r="Z667" t="s">
        <v>102</v>
      </c>
      <c r="AA667" t="s">
        <v>71</v>
      </c>
      <c r="AB667">
        <v>4</v>
      </c>
      <c r="AO667" t="str">
        <f t="shared" si="33"/>
        <v>18-25</v>
      </c>
      <c r="BD667">
        <v>8</v>
      </c>
      <c r="BF667" cm="1">
        <f t="array" ref="BF667">CORREL(J667:J1667,S667:S1667)</f>
        <v>-0.0331498795469569</v>
      </c>
      <c r="BH667">
        <v>4</v>
      </c>
      <c r="BI667">
        <f t="shared" si="34"/>
        <v>2</v>
      </c>
      <c r="BJ667">
        <f t="shared" si="35"/>
        <v>2</v>
      </c>
    </row>
    <row r="668" spans="1:62">
      <c r="A668" s="1">
        <v>288625550</v>
      </c>
      <c r="B668">
        <v>49</v>
      </c>
      <c r="C668" t="s">
        <v>59</v>
      </c>
      <c r="D668" t="s">
        <v>60</v>
      </c>
      <c r="E668" t="s">
        <v>61</v>
      </c>
      <c r="F668" t="s">
        <v>62</v>
      </c>
      <c r="G668" t="s">
        <v>74</v>
      </c>
      <c r="H668" t="s">
        <v>850</v>
      </c>
      <c r="I668" t="s">
        <v>77</v>
      </c>
      <c r="J668" s="2">
        <v>403.03</v>
      </c>
      <c r="K668">
        <v>12</v>
      </c>
      <c r="L668" t="s">
        <v>65</v>
      </c>
      <c r="M668">
        <v>1</v>
      </c>
      <c r="N668">
        <v>5</v>
      </c>
      <c r="O668">
        <v>1</v>
      </c>
      <c r="P668" t="s">
        <v>79</v>
      </c>
      <c r="Q668" t="s">
        <v>67</v>
      </c>
      <c r="R668">
        <v>0</v>
      </c>
      <c r="S668">
        <v>1</v>
      </c>
      <c r="T668" t="s">
        <v>74</v>
      </c>
      <c r="U668" t="s">
        <v>68</v>
      </c>
      <c r="V668" t="s">
        <v>96</v>
      </c>
      <c r="W668" s="3">
        <v>45526</v>
      </c>
      <c r="X668" t="b">
        <v>1</v>
      </c>
      <c r="Y668" t="b">
        <v>1</v>
      </c>
      <c r="Z668" t="s">
        <v>82</v>
      </c>
      <c r="AA668" t="s">
        <v>83</v>
      </c>
      <c r="AB668">
        <v>2</v>
      </c>
      <c r="AO668" t="str">
        <f t="shared" ref="AO668:AO731" si="36">IF(B668&lt;=25,"18-25",IF(B668&lt;=40,"26-40",IF(B668&lt;=60,"41-60","Above60")))</f>
        <v>41-60</v>
      </c>
      <c r="BD668">
        <v>12</v>
      </c>
      <c r="BF668" cm="1">
        <f t="array" ref="BF668">CORREL(J668:J1668,S668:S1668)</f>
        <v>-0.0348504563817662</v>
      </c>
      <c r="BH668">
        <v>1</v>
      </c>
      <c r="BI668">
        <f t="shared" si="34"/>
        <v>12</v>
      </c>
      <c r="BJ668">
        <f t="shared" si="35"/>
        <v>0.0833333333333333</v>
      </c>
    </row>
    <row r="669" spans="1:62">
      <c r="A669" s="1">
        <v>856667449</v>
      </c>
      <c r="B669">
        <v>26</v>
      </c>
      <c r="C669" t="s">
        <v>59</v>
      </c>
      <c r="D669" t="s">
        <v>74</v>
      </c>
      <c r="E669" t="s">
        <v>98</v>
      </c>
      <c r="F669" t="s">
        <v>62</v>
      </c>
      <c r="G669" t="s">
        <v>74</v>
      </c>
      <c r="H669" t="s">
        <v>851</v>
      </c>
      <c r="I669" t="s">
        <v>147</v>
      </c>
      <c r="J669" s="2">
        <v>338.6</v>
      </c>
      <c r="K669">
        <v>10</v>
      </c>
      <c r="L669" t="s">
        <v>78</v>
      </c>
      <c r="M669">
        <v>1</v>
      </c>
      <c r="N669">
        <v>3</v>
      </c>
      <c r="O669">
        <v>2</v>
      </c>
      <c r="P669" t="s">
        <v>79</v>
      </c>
      <c r="Q669" t="s">
        <v>67</v>
      </c>
      <c r="R669">
        <v>1</v>
      </c>
      <c r="S669">
        <v>3</v>
      </c>
      <c r="T669" t="s">
        <v>79</v>
      </c>
      <c r="U669" t="s">
        <v>105</v>
      </c>
      <c r="V669" t="s">
        <v>96</v>
      </c>
      <c r="W669" s="3">
        <v>45528</v>
      </c>
      <c r="X669" t="b">
        <v>0</v>
      </c>
      <c r="Y669" t="b">
        <v>0</v>
      </c>
      <c r="Z669" t="s">
        <v>102</v>
      </c>
      <c r="AA669" t="s">
        <v>71</v>
      </c>
      <c r="AB669">
        <v>9</v>
      </c>
      <c r="AO669" t="str">
        <f t="shared" si="36"/>
        <v>26-40</v>
      </c>
      <c r="BD669">
        <v>10</v>
      </c>
      <c r="BF669" cm="1">
        <f t="array" ref="BF669">CORREL(J669:J1669,S669:S1669)</f>
        <v>-0.0307727358558898</v>
      </c>
      <c r="BH669">
        <v>3</v>
      </c>
      <c r="BI669">
        <f t="shared" si="34"/>
        <v>3.33333333333333</v>
      </c>
      <c r="BJ669">
        <f t="shared" si="35"/>
        <v>0.9</v>
      </c>
    </row>
    <row r="670" spans="1:62">
      <c r="A670" s="1">
        <v>309877421</v>
      </c>
      <c r="B670">
        <v>36</v>
      </c>
      <c r="C670" t="s">
        <v>73</v>
      </c>
      <c r="D670" t="s">
        <v>60</v>
      </c>
      <c r="E670" t="s">
        <v>98</v>
      </c>
      <c r="F670" t="s">
        <v>75</v>
      </c>
      <c r="G670" t="s">
        <v>74</v>
      </c>
      <c r="H670" t="s">
        <v>852</v>
      </c>
      <c r="I670" t="s">
        <v>100</v>
      </c>
      <c r="J670" s="2">
        <v>365.38</v>
      </c>
      <c r="K670">
        <v>11</v>
      </c>
      <c r="L670" t="s">
        <v>85</v>
      </c>
      <c r="M670">
        <v>1</v>
      </c>
      <c r="N670">
        <v>4</v>
      </c>
      <c r="O670">
        <v>0</v>
      </c>
      <c r="P670" t="s">
        <v>74</v>
      </c>
      <c r="Q670" t="s">
        <v>67</v>
      </c>
      <c r="R670">
        <v>0</v>
      </c>
      <c r="S670">
        <v>9</v>
      </c>
      <c r="T670" t="s">
        <v>79</v>
      </c>
      <c r="U670" t="s">
        <v>105</v>
      </c>
      <c r="V670" t="s">
        <v>110</v>
      </c>
      <c r="W670" s="3">
        <v>45505</v>
      </c>
      <c r="X670" t="b">
        <v>0</v>
      </c>
      <c r="Y670" t="b">
        <v>0</v>
      </c>
      <c r="Z670" t="s">
        <v>82</v>
      </c>
      <c r="AA670" t="s">
        <v>97</v>
      </c>
      <c r="AB670">
        <v>14</v>
      </c>
      <c r="AO670" t="str">
        <f t="shared" si="36"/>
        <v>26-40</v>
      </c>
      <c r="BD670">
        <v>11</v>
      </c>
      <c r="BF670" cm="1">
        <f t="array" ref="BF670">CORREL(J670:J1670,S670:S1670)</f>
        <v>-0.0297397323108937</v>
      </c>
      <c r="BH670">
        <v>9</v>
      </c>
      <c r="BI670">
        <f t="shared" si="34"/>
        <v>1.22222222222222</v>
      </c>
      <c r="BJ670">
        <f t="shared" si="35"/>
        <v>7.36363636363636</v>
      </c>
    </row>
    <row r="671" spans="1:62">
      <c r="A671" s="1">
        <v>391076852</v>
      </c>
      <c r="B671">
        <v>21</v>
      </c>
      <c r="C671" t="s">
        <v>73</v>
      </c>
      <c r="D671" t="s">
        <v>60</v>
      </c>
      <c r="E671" t="s">
        <v>61</v>
      </c>
      <c r="F671" t="s">
        <v>75</v>
      </c>
      <c r="G671" t="s">
        <v>74</v>
      </c>
      <c r="H671" t="s">
        <v>853</v>
      </c>
      <c r="I671" t="s">
        <v>113</v>
      </c>
      <c r="J671" s="2">
        <v>433.99</v>
      </c>
      <c r="K671">
        <v>11</v>
      </c>
      <c r="L671" t="s">
        <v>65</v>
      </c>
      <c r="M671">
        <v>3</v>
      </c>
      <c r="N671">
        <v>2</v>
      </c>
      <c r="O671">
        <v>1</v>
      </c>
      <c r="P671" t="s">
        <v>74</v>
      </c>
      <c r="Q671" t="s">
        <v>80</v>
      </c>
      <c r="R671">
        <v>0</v>
      </c>
      <c r="S671">
        <v>2</v>
      </c>
      <c r="T671" t="s">
        <v>66</v>
      </c>
      <c r="U671" t="s">
        <v>105</v>
      </c>
      <c r="V671" t="s">
        <v>69</v>
      </c>
      <c r="W671" s="3">
        <v>45331</v>
      </c>
      <c r="X671" t="b">
        <v>0</v>
      </c>
      <c r="Y671" t="b">
        <v>0</v>
      </c>
      <c r="Z671" t="s">
        <v>70</v>
      </c>
      <c r="AA671" t="s">
        <v>71</v>
      </c>
      <c r="AB671">
        <v>8</v>
      </c>
      <c r="AO671" t="str">
        <f t="shared" si="36"/>
        <v>18-25</v>
      </c>
      <c r="BD671">
        <v>11</v>
      </c>
      <c r="BF671" cm="1">
        <f t="array" ref="BF671">CORREL(J671:J1671,S671:S1671)</f>
        <v>-0.0323174190262016</v>
      </c>
      <c r="BH671">
        <v>2</v>
      </c>
      <c r="BI671">
        <f t="shared" si="34"/>
        <v>5.5</v>
      </c>
      <c r="BJ671">
        <f t="shared" si="35"/>
        <v>0.363636363636364</v>
      </c>
    </row>
    <row r="672" spans="1:62">
      <c r="A672" s="1">
        <v>854676564</v>
      </c>
      <c r="B672">
        <v>35</v>
      </c>
      <c r="C672" t="s">
        <v>59</v>
      </c>
      <c r="D672" t="s">
        <v>60</v>
      </c>
      <c r="E672" t="s">
        <v>98</v>
      </c>
      <c r="F672" t="s">
        <v>75</v>
      </c>
      <c r="G672" t="s">
        <v>60</v>
      </c>
      <c r="H672" t="s">
        <v>854</v>
      </c>
      <c r="I672" t="s">
        <v>122</v>
      </c>
      <c r="J672" s="2">
        <v>495.95</v>
      </c>
      <c r="K672">
        <v>5</v>
      </c>
      <c r="L672" t="s">
        <v>78</v>
      </c>
      <c r="M672">
        <v>4</v>
      </c>
      <c r="N672">
        <v>2</v>
      </c>
      <c r="O672">
        <v>0</v>
      </c>
      <c r="P672" t="s">
        <v>74</v>
      </c>
      <c r="Q672" t="s">
        <v>109</v>
      </c>
      <c r="R672">
        <v>1</v>
      </c>
      <c r="S672">
        <v>7</v>
      </c>
      <c r="T672" t="s">
        <v>66</v>
      </c>
      <c r="U672" t="s">
        <v>90</v>
      </c>
      <c r="V672" t="s">
        <v>96</v>
      </c>
      <c r="W672" s="3">
        <v>45392</v>
      </c>
      <c r="X672" t="b">
        <v>0</v>
      </c>
      <c r="Y672" t="b">
        <v>0</v>
      </c>
      <c r="Z672" t="s">
        <v>102</v>
      </c>
      <c r="AA672" t="s">
        <v>71</v>
      </c>
      <c r="AB672">
        <v>6</v>
      </c>
      <c r="AO672" t="str">
        <f t="shared" si="36"/>
        <v>26-40</v>
      </c>
      <c r="BD672">
        <v>5</v>
      </c>
      <c r="BF672" cm="1">
        <f t="array" ref="BF672">CORREL(J672:J1672,S672:S1672)</f>
        <v>-0.0282738993517021</v>
      </c>
      <c r="BH672">
        <v>7</v>
      </c>
      <c r="BI672">
        <f t="shared" si="34"/>
        <v>0.714285714285714</v>
      </c>
      <c r="BJ672">
        <f t="shared" si="35"/>
        <v>9.8</v>
      </c>
    </row>
    <row r="673" spans="1:62">
      <c r="A673" s="1">
        <v>826929306</v>
      </c>
      <c r="B673">
        <v>41</v>
      </c>
      <c r="C673" t="s">
        <v>73</v>
      </c>
      <c r="D673" t="s">
        <v>74</v>
      </c>
      <c r="E673" t="s">
        <v>61</v>
      </c>
      <c r="F673" t="s">
        <v>75</v>
      </c>
      <c r="G673" t="s">
        <v>60</v>
      </c>
      <c r="H673" t="s">
        <v>855</v>
      </c>
      <c r="I673" t="s">
        <v>135</v>
      </c>
      <c r="J673" s="2">
        <v>356.22</v>
      </c>
      <c r="K673">
        <v>7</v>
      </c>
      <c r="L673" t="s">
        <v>78</v>
      </c>
      <c r="M673">
        <v>2</v>
      </c>
      <c r="N673">
        <v>5</v>
      </c>
      <c r="O673">
        <v>0</v>
      </c>
      <c r="P673" t="s">
        <v>79</v>
      </c>
      <c r="Q673" t="s">
        <v>109</v>
      </c>
      <c r="R673">
        <v>1</v>
      </c>
      <c r="S673">
        <v>7</v>
      </c>
      <c r="T673" t="s">
        <v>74</v>
      </c>
      <c r="U673" t="s">
        <v>90</v>
      </c>
      <c r="V673" t="s">
        <v>69</v>
      </c>
      <c r="W673" s="3">
        <v>45453</v>
      </c>
      <c r="X673" t="b">
        <v>0</v>
      </c>
      <c r="Y673" t="b">
        <v>1</v>
      </c>
      <c r="Z673" t="s">
        <v>102</v>
      </c>
      <c r="AA673" t="s">
        <v>97</v>
      </c>
      <c r="AB673">
        <v>6</v>
      </c>
      <c r="AO673" t="str">
        <f t="shared" si="36"/>
        <v>41-60</v>
      </c>
      <c r="BD673">
        <v>7</v>
      </c>
      <c r="BF673" cm="1">
        <f t="array" ref="BF673">CORREL(J673:J1673,S673:S1673)</f>
        <v>-0.0313236088271602</v>
      </c>
      <c r="BH673">
        <v>7</v>
      </c>
      <c r="BI673">
        <f t="shared" si="34"/>
        <v>1</v>
      </c>
      <c r="BJ673">
        <f t="shared" si="35"/>
        <v>7</v>
      </c>
    </row>
    <row r="674" spans="1:62">
      <c r="A674" s="1">
        <v>185938611</v>
      </c>
      <c r="B674">
        <v>22</v>
      </c>
      <c r="C674" t="s">
        <v>268</v>
      </c>
      <c r="D674" t="s">
        <v>74</v>
      </c>
      <c r="E674" t="s">
        <v>86</v>
      </c>
      <c r="F674" t="s">
        <v>75</v>
      </c>
      <c r="G674" t="s">
        <v>60</v>
      </c>
      <c r="H674" t="s">
        <v>856</v>
      </c>
      <c r="I674" t="s">
        <v>147</v>
      </c>
      <c r="J674" s="2">
        <v>156.4</v>
      </c>
      <c r="K674">
        <v>7</v>
      </c>
      <c r="L674" t="s">
        <v>78</v>
      </c>
      <c r="M674">
        <v>4</v>
      </c>
      <c r="N674">
        <v>5</v>
      </c>
      <c r="O674">
        <v>2</v>
      </c>
      <c r="P674" t="s">
        <v>84</v>
      </c>
      <c r="Q674" t="s">
        <v>67</v>
      </c>
      <c r="R674">
        <v>1</v>
      </c>
      <c r="S674">
        <v>7</v>
      </c>
      <c r="T674" t="s">
        <v>84</v>
      </c>
      <c r="U674" t="s">
        <v>105</v>
      </c>
      <c r="V674" t="s">
        <v>69</v>
      </c>
      <c r="W674" s="3">
        <v>45603</v>
      </c>
      <c r="X674" t="b">
        <v>0</v>
      </c>
      <c r="Y674" t="b">
        <v>1</v>
      </c>
      <c r="Z674" t="s">
        <v>70</v>
      </c>
      <c r="AA674" t="s">
        <v>83</v>
      </c>
      <c r="AB674">
        <v>4</v>
      </c>
      <c r="AO674" t="str">
        <f t="shared" si="36"/>
        <v>18-25</v>
      </c>
      <c r="BD674">
        <v>7</v>
      </c>
      <c r="BF674" cm="1">
        <f t="array" ref="BF674">CORREL(J674:J1674,S674:S1674)</f>
        <v>-0.0323854448515611</v>
      </c>
      <c r="BH674">
        <v>7</v>
      </c>
      <c r="BI674">
        <f t="shared" si="34"/>
        <v>1</v>
      </c>
      <c r="BJ674">
        <f t="shared" si="35"/>
        <v>7</v>
      </c>
    </row>
    <row r="675" spans="1:62">
      <c r="A675" s="1">
        <v>930930556</v>
      </c>
      <c r="B675">
        <v>42</v>
      </c>
      <c r="C675" t="s">
        <v>73</v>
      </c>
      <c r="D675" t="s">
        <v>60</v>
      </c>
      <c r="E675" t="s">
        <v>86</v>
      </c>
      <c r="F675" t="s">
        <v>87</v>
      </c>
      <c r="G675" t="s">
        <v>60</v>
      </c>
      <c r="H675" t="s">
        <v>857</v>
      </c>
      <c r="I675" t="s">
        <v>113</v>
      </c>
      <c r="J675" s="2">
        <v>454.36</v>
      </c>
      <c r="K675">
        <v>3</v>
      </c>
      <c r="L675" t="s">
        <v>78</v>
      </c>
      <c r="M675">
        <v>4</v>
      </c>
      <c r="N675">
        <v>5</v>
      </c>
      <c r="O675">
        <v>1</v>
      </c>
      <c r="P675" t="s">
        <v>84</v>
      </c>
      <c r="Q675" t="s">
        <v>109</v>
      </c>
      <c r="R675">
        <v>1</v>
      </c>
      <c r="S675">
        <v>8</v>
      </c>
      <c r="T675" t="s">
        <v>79</v>
      </c>
      <c r="U675" t="s">
        <v>68</v>
      </c>
      <c r="V675" t="s">
        <v>110</v>
      </c>
      <c r="W675" s="3">
        <v>45551</v>
      </c>
      <c r="X675" t="b">
        <v>1</v>
      </c>
      <c r="Y675" t="b">
        <v>0</v>
      </c>
      <c r="Z675" t="s">
        <v>102</v>
      </c>
      <c r="AA675" t="s">
        <v>71</v>
      </c>
      <c r="AB675">
        <v>12</v>
      </c>
      <c r="AO675" t="str">
        <f t="shared" si="36"/>
        <v>41-60</v>
      </c>
      <c r="BD675">
        <v>3</v>
      </c>
      <c r="BF675" cm="1">
        <f t="array" ref="BF675">CORREL(J675:J1675,S675:S1675)</f>
        <v>-0.0307344165921135</v>
      </c>
      <c r="BH675">
        <v>8</v>
      </c>
      <c r="BI675">
        <f t="shared" si="34"/>
        <v>0.375</v>
      </c>
      <c r="BJ675">
        <f t="shared" si="35"/>
        <v>21.3333333333333</v>
      </c>
    </row>
    <row r="676" spans="1:62">
      <c r="A676" s="1">
        <v>590805779</v>
      </c>
      <c r="B676">
        <v>50</v>
      </c>
      <c r="C676" t="s">
        <v>73</v>
      </c>
      <c r="D676" t="s">
        <v>74</v>
      </c>
      <c r="E676" t="s">
        <v>86</v>
      </c>
      <c r="F676" t="s">
        <v>62</v>
      </c>
      <c r="G676" t="s">
        <v>74</v>
      </c>
      <c r="H676" t="s">
        <v>858</v>
      </c>
      <c r="I676" t="s">
        <v>133</v>
      </c>
      <c r="J676" s="2">
        <v>486.07</v>
      </c>
      <c r="K676">
        <v>11</v>
      </c>
      <c r="L676" t="s">
        <v>65</v>
      </c>
      <c r="M676">
        <v>5</v>
      </c>
      <c r="N676">
        <v>1</v>
      </c>
      <c r="O676">
        <v>0</v>
      </c>
      <c r="P676" t="s">
        <v>79</v>
      </c>
      <c r="Q676" t="s">
        <v>67</v>
      </c>
      <c r="R676">
        <v>2</v>
      </c>
      <c r="S676">
        <v>6</v>
      </c>
      <c r="T676" t="s">
        <v>66</v>
      </c>
      <c r="U676" t="s">
        <v>68</v>
      </c>
      <c r="V676" t="s">
        <v>69</v>
      </c>
      <c r="W676" s="3">
        <v>45307</v>
      </c>
      <c r="X676" t="b">
        <v>0</v>
      </c>
      <c r="Y676" t="b">
        <v>0</v>
      </c>
      <c r="Z676" t="s">
        <v>102</v>
      </c>
      <c r="AA676" t="s">
        <v>83</v>
      </c>
      <c r="AB676">
        <v>12</v>
      </c>
      <c r="AO676" t="str">
        <f t="shared" si="36"/>
        <v>41-60</v>
      </c>
      <c r="BD676">
        <v>11</v>
      </c>
      <c r="BF676" cm="1">
        <f t="array" ref="BF676">CORREL(J676:J1676,S676:S1676)</f>
        <v>-0.0347011563116206</v>
      </c>
      <c r="BH676">
        <v>6</v>
      </c>
      <c r="BI676">
        <f t="shared" si="34"/>
        <v>1.83333333333333</v>
      </c>
      <c r="BJ676">
        <f t="shared" si="35"/>
        <v>3.27272727272727</v>
      </c>
    </row>
    <row r="677" spans="1:62">
      <c r="A677" s="1">
        <v>649152968</v>
      </c>
      <c r="B677">
        <v>30</v>
      </c>
      <c r="C677" t="s">
        <v>59</v>
      </c>
      <c r="D677" t="s">
        <v>74</v>
      </c>
      <c r="E677" t="s">
        <v>103</v>
      </c>
      <c r="F677" t="s">
        <v>75</v>
      </c>
      <c r="G677" t="s">
        <v>60</v>
      </c>
      <c r="H677" t="s">
        <v>258</v>
      </c>
      <c r="I677" t="s">
        <v>129</v>
      </c>
      <c r="J677" s="2">
        <v>427.86</v>
      </c>
      <c r="K677">
        <v>11</v>
      </c>
      <c r="L677" t="s">
        <v>65</v>
      </c>
      <c r="M677">
        <v>4</v>
      </c>
      <c r="N677">
        <v>3</v>
      </c>
      <c r="O677">
        <v>1</v>
      </c>
      <c r="P677" t="s">
        <v>79</v>
      </c>
      <c r="Q677" t="s">
        <v>80</v>
      </c>
      <c r="R677">
        <v>0</v>
      </c>
      <c r="S677">
        <v>6</v>
      </c>
      <c r="T677" t="s">
        <v>79</v>
      </c>
      <c r="U677" t="s">
        <v>105</v>
      </c>
      <c r="V677" t="s">
        <v>91</v>
      </c>
      <c r="W677" s="3">
        <v>45354</v>
      </c>
      <c r="X677" t="b">
        <v>1</v>
      </c>
      <c r="Y677" t="b">
        <v>1</v>
      </c>
      <c r="Z677" t="s">
        <v>70</v>
      </c>
      <c r="AA677" t="s">
        <v>97</v>
      </c>
      <c r="AB677">
        <v>8</v>
      </c>
      <c r="AO677" t="str">
        <f t="shared" si="36"/>
        <v>26-40</v>
      </c>
      <c r="BD677">
        <v>11</v>
      </c>
      <c r="BF677" cm="1">
        <f t="array" ref="BF677">CORREL(J677:J1677,S677:S1677)</f>
        <v>-0.0359869918402763</v>
      </c>
      <c r="BH677">
        <v>6</v>
      </c>
      <c r="BI677">
        <f t="shared" si="34"/>
        <v>1.83333333333333</v>
      </c>
      <c r="BJ677">
        <f t="shared" si="35"/>
        <v>3.27272727272727</v>
      </c>
    </row>
    <row r="678" spans="1:62">
      <c r="A678" s="1">
        <v>944953402</v>
      </c>
      <c r="B678">
        <v>49</v>
      </c>
      <c r="C678" t="s">
        <v>59</v>
      </c>
      <c r="D678" t="s">
        <v>74</v>
      </c>
      <c r="E678" t="s">
        <v>103</v>
      </c>
      <c r="F678" t="s">
        <v>87</v>
      </c>
      <c r="G678" t="s">
        <v>74</v>
      </c>
      <c r="H678" t="s">
        <v>859</v>
      </c>
      <c r="I678" t="s">
        <v>174</v>
      </c>
      <c r="J678" s="2">
        <v>235.13</v>
      </c>
      <c r="K678">
        <v>10</v>
      </c>
      <c r="L678" t="s">
        <v>85</v>
      </c>
      <c r="M678">
        <v>5</v>
      </c>
      <c r="N678">
        <v>4</v>
      </c>
      <c r="O678">
        <v>1</v>
      </c>
      <c r="P678" t="s">
        <v>79</v>
      </c>
      <c r="Q678" t="s">
        <v>109</v>
      </c>
      <c r="R678">
        <v>2</v>
      </c>
      <c r="S678">
        <v>3</v>
      </c>
      <c r="T678" t="s">
        <v>66</v>
      </c>
      <c r="U678" t="s">
        <v>90</v>
      </c>
      <c r="V678" t="s">
        <v>96</v>
      </c>
      <c r="W678" s="3">
        <v>45380</v>
      </c>
      <c r="X678" t="b">
        <v>1</v>
      </c>
      <c r="Y678" t="b">
        <v>0</v>
      </c>
      <c r="Z678" t="s">
        <v>102</v>
      </c>
      <c r="AA678" t="s">
        <v>71</v>
      </c>
      <c r="AB678">
        <v>6</v>
      </c>
      <c r="AO678" t="str">
        <f t="shared" si="36"/>
        <v>41-60</v>
      </c>
      <c r="BD678">
        <v>10</v>
      </c>
      <c r="BF678" cm="1">
        <f t="array" ref="BF678">CORREL(J678:J1678,S678:S1678)</f>
        <v>-0.0368944870200889</v>
      </c>
      <c r="BH678">
        <v>3</v>
      </c>
      <c r="BI678">
        <f t="shared" si="34"/>
        <v>3.33333333333333</v>
      </c>
      <c r="BJ678">
        <f t="shared" si="35"/>
        <v>0.9</v>
      </c>
    </row>
    <row r="679" spans="1:62">
      <c r="A679" s="1">
        <v>844586432</v>
      </c>
      <c r="B679">
        <v>40</v>
      </c>
      <c r="C679" t="s">
        <v>59</v>
      </c>
      <c r="D679" t="s">
        <v>60</v>
      </c>
      <c r="E679" t="s">
        <v>103</v>
      </c>
      <c r="F679" t="s">
        <v>62</v>
      </c>
      <c r="G679" t="s">
        <v>60</v>
      </c>
      <c r="H679" t="s">
        <v>860</v>
      </c>
      <c r="I679" t="s">
        <v>156</v>
      </c>
      <c r="J679" s="2">
        <v>361.27</v>
      </c>
      <c r="K679">
        <v>4</v>
      </c>
      <c r="L679" t="s">
        <v>85</v>
      </c>
      <c r="M679">
        <v>3</v>
      </c>
      <c r="N679">
        <v>3</v>
      </c>
      <c r="O679">
        <v>1</v>
      </c>
      <c r="P679" t="s">
        <v>66</v>
      </c>
      <c r="Q679" t="s">
        <v>80</v>
      </c>
      <c r="R679">
        <v>0</v>
      </c>
      <c r="S679">
        <v>5</v>
      </c>
      <c r="T679" t="s">
        <v>74</v>
      </c>
      <c r="U679" t="s">
        <v>68</v>
      </c>
      <c r="V679" t="s">
        <v>69</v>
      </c>
      <c r="W679" s="3">
        <v>45550</v>
      </c>
      <c r="X679" t="b">
        <v>1</v>
      </c>
      <c r="Y679" t="b">
        <v>0</v>
      </c>
      <c r="Z679" t="s">
        <v>70</v>
      </c>
      <c r="AA679" t="s">
        <v>83</v>
      </c>
      <c r="AB679">
        <v>2</v>
      </c>
      <c r="AO679" t="str">
        <f t="shared" si="36"/>
        <v>26-40</v>
      </c>
      <c r="BD679">
        <v>4</v>
      </c>
      <c r="BF679" cm="1">
        <f t="array" ref="BF679">CORREL(J679:J1679,S679:S1679)</f>
        <v>-0.0378072689288319</v>
      </c>
      <c r="BH679">
        <v>5</v>
      </c>
      <c r="BI679">
        <f t="shared" si="34"/>
        <v>0.8</v>
      </c>
      <c r="BJ679">
        <f t="shared" si="35"/>
        <v>6.25</v>
      </c>
    </row>
    <row r="680" spans="1:62">
      <c r="A680" s="1">
        <v>464523822</v>
      </c>
      <c r="B680">
        <v>38</v>
      </c>
      <c r="C680" t="s">
        <v>59</v>
      </c>
      <c r="D680" t="s">
        <v>60</v>
      </c>
      <c r="E680" t="s">
        <v>86</v>
      </c>
      <c r="F680" t="s">
        <v>62</v>
      </c>
      <c r="G680" t="s">
        <v>60</v>
      </c>
      <c r="H680" t="s">
        <v>861</v>
      </c>
      <c r="I680" t="s">
        <v>100</v>
      </c>
      <c r="J680" s="2">
        <v>195.83</v>
      </c>
      <c r="K680">
        <v>10</v>
      </c>
      <c r="L680" t="s">
        <v>65</v>
      </c>
      <c r="M680">
        <v>1</v>
      </c>
      <c r="N680">
        <v>2</v>
      </c>
      <c r="O680">
        <v>2</v>
      </c>
      <c r="P680" t="s">
        <v>66</v>
      </c>
      <c r="Q680" t="s">
        <v>80</v>
      </c>
      <c r="R680">
        <v>1</v>
      </c>
      <c r="S680">
        <v>7</v>
      </c>
      <c r="T680" t="s">
        <v>74</v>
      </c>
      <c r="U680" t="s">
        <v>105</v>
      </c>
      <c r="V680" t="s">
        <v>91</v>
      </c>
      <c r="W680" s="3">
        <v>45316</v>
      </c>
      <c r="X680" t="b">
        <v>1</v>
      </c>
      <c r="Y680" t="b">
        <v>0</v>
      </c>
      <c r="Z680" t="s">
        <v>70</v>
      </c>
      <c r="AA680" t="s">
        <v>71</v>
      </c>
      <c r="AB680">
        <v>13</v>
      </c>
      <c r="AO680" t="str">
        <f t="shared" si="36"/>
        <v>26-40</v>
      </c>
      <c r="BD680">
        <v>10</v>
      </c>
      <c r="BF680" cm="1">
        <f t="array" ref="BF680">CORREL(J680:J1680,S680:S1680)</f>
        <v>-0.0376035094693718</v>
      </c>
      <c r="BH680">
        <v>7</v>
      </c>
      <c r="BI680">
        <f t="shared" si="34"/>
        <v>1.42857142857143</v>
      </c>
      <c r="BJ680">
        <f t="shared" si="35"/>
        <v>4.9</v>
      </c>
    </row>
    <row r="681" spans="1:62">
      <c r="A681" s="1">
        <v>548775699</v>
      </c>
      <c r="B681">
        <v>21</v>
      </c>
      <c r="C681" t="s">
        <v>73</v>
      </c>
      <c r="D681" t="s">
        <v>74</v>
      </c>
      <c r="E681" t="s">
        <v>61</v>
      </c>
      <c r="F681" t="s">
        <v>87</v>
      </c>
      <c r="G681" t="s">
        <v>74</v>
      </c>
      <c r="H681" t="s">
        <v>862</v>
      </c>
      <c r="I681" t="s">
        <v>113</v>
      </c>
      <c r="J681" s="2">
        <v>340.31</v>
      </c>
      <c r="K681">
        <v>10</v>
      </c>
      <c r="L681" t="s">
        <v>85</v>
      </c>
      <c r="M681">
        <v>5</v>
      </c>
      <c r="N681">
        <v>1</v>
      </c>
      <c r="O681">
        <v>1</v>
      </c>
      <c r="P681" t="s">
        <v>84</v>
      </c>
      <c r="Q681" t="s">
        <v>67</v>
      </c>
      <c r="R681">
        <v>0</v>
      </c>
      <c r="S681">
        <v>5</v>
      </c>
      <c r="T681" t="s">
        <v>84</v>
      </c>
      <c r="U681" t="s">
        <v>105</v>
      </c>
      <c r="V681" t="s">
        <v>96</v>
      </c>
      <c r="W681" s="3">
        <v>45553</v>
      </c>
      <c r="X681" t="b">
        <v>0</v>
      </c>
      <c r="Y681" t="b">
        <v>1</v>
      </c>
      <c r="Z681" t="s">
        <v>92</v>
      </c>
      <c r="AA681" t="s">
        <v>71</v>
      </c>
      <c r="AB681">
        <v>14</v>
      </c>
      <c r="AO681" t="str">
        <f t="shared" si="36"/>
        <v>18-25</v>
      </c>
      <c r="BD681">
        <v>10</v>
      </c>
      <c r="BF681" cm="1">
        <f t="array" ref="BF681">CORREL(J681:J1681,S681:S1681)</f>
        <v>-0.0364753189418702</v>
      </c>
      <c r="BH681">
        <v>5</v>
      </c>
      <c r="BI681">
        <f t="shared" si="34"/>
        <v>2</v>
      </c>
      <c r="BJ681">
        <f t="shared" si="35"/>
        <v>2.5</v>
      </c>
    </row>
    <row r="682" spans="1:62">
      <c r="A682" s="1">
        <v>151464456</v>
      </c>
      <c r="B682">
        <v>40</v>
      </c>
      <c r="C682" t="s">
        <v>73</v>
      </c>
      <c r="D682" t="s">
        <v>74</v>
      </c>
      <c r="E682" t="s">
        <v>103</v>
      </c>
      <c r="F682" t="s">
        <v>87</v>
      </c>
      <c r="G682" t="s">
        <v>74</v>
      </c>
      <c r="H682" t="s">
        <v>863</v>
      </c>
      <c r="I682" t="s">
        <v>120</v>
      </c>
      <c r="J682" s="2">
        <v>489.67</v>
      </c>
      <c r="K682">
        <v>5</v>
      </c>
      <c r="L682" t="s">
        <v>65</v>
      </c>
      <c r="M682">
        <v>5</v>
      </c>
      <c r="N682">
        <v>5</v>
      </c>
      <c r="O682">
        <v>1</v>
      </c>
      <c r="P682" t="s">
        <v>66</v>
      </c>
      <c r="Q682" t="s">
        <v>109</v>
      </c>
      <c r="R682">
        <v>1</v>
      </c>
      <c r="S682">
        <v>5</v>
      </c>
      <c r="T682" t="s">
        <v>79</v>
      </c>
      <c r="U682" t="s">
        <v>68</v>
      </c>
      <c r="V682" t="s">
        <v>91</v>
      </c>
      <c r="W682" s="3">
        <v>45647</v>
      </c>
      <c r="X682" t="b">
        <v>0</v>
      </c>
      <c r="Y682" t="b">
        <v>0</v>
      </c>
      <c r="Z682" t="s">
        <v>82</v>
      </c>
      <c r="AA682" t="s">
        <v>83</v>
      </c>
      <c r="AB682">
        <v>11</v>
      </c>
      <c r="AO682" t="str">
        <f t="shared" si="36"/>
        <v>26-40</v>
      </c>
      <c r="BD682">
        <v>5</v>
      </c>
      <c r="BF682" cm="1">
        <f t="array" ref="BF682">CORREL(J682:J1682,S682:S1682)</f>
        <v>-0.0363213100870482</v>
      </c>
      <c r="BH682">
        <v>5</v>
      </c>
      <c r="BI682">
        <f t="shared" si="34"/>
        <v>1</v>
      </c>
      <c r="BJ682">
        <f t="shared" si="35"/>
        <v>5</v>
      </c>
    </row>
    <row r="683" spans="1:62">
      <c r="A683" s="1">
        <v>766202994</v>
      </c>
      <c r="B683">
        <v>26</v>
      </c>
      <c r="C683" t="s">
        <v>73</v>
      </c>
      <c r="D683" t="s">
        <v>74</v>
      </c>
      <c r="E683" t="s">
        <v>103</v>
      </c>
      <c r="F683" t="s">
        <v>87</v>
      </c>
      <c r="G683" t="s">
        <v>60</v>
      </c>
      <c r="H683" t="s">
        <v>864</v>
      </c>
      <c r="I683" t="s">
        <v>115</v>
      </c>
      <c r="J683" s="2">
        <v>482.5</v>
      </c>
      <c r="K683">
        <v>11</v>
      </c>
      <c r="L683" t="s">
        <v>65</v>
      </c>
      <c r="M683">
        <v>1</v>
      </c>
      <c r="N683">
        <v>1</v>
      </c>
      <c r="O683">
        <v>1</v>
      </c>
      <c r="P683" t="s">
        <v>66</v>
      </c>
      <c r="Q683" t="s">
        <v>109</v>
      </c>
      <c r="R683">
        <v>2</v>
      </c>
      <c r="S683">
        <v>1</v>
      </c>
      <c r="T683" t="s">
        <v>66</v>
      </c>
      <c r="U683" t="s">
        <v>90</v>
      </c>
      <c r="V683" t="s">
        <v>110</v>
      </c>
      <c r="W683" s="3">
        <v>45563</v>
      </c>
      <c r="X683" t="b">
        <v>1</v>
      </c>
      <c r="Y683" t="b">
        <v>1</v>
      </c>
      <c r="Z683" t="s">
        <v>70</v>
      </c>
      <c r="AA683" t="s">
        <v>71</v>
      </c>
      <c r="AB683">
        <v>13</v>
      </c>
      <c r="AO683" t="str">
        <f t="shared" si="36"/>
        <v>26-40</v>
      </c>
      <c r="BD683">
        <v>11</v>
      </c>
      <c r="BF683" cm="1">
        <f t="array" ref="BF683">CORREL(J683:J1683,S683:S1683)</f>
        <v>-0.0358830763256158</v>
      </c>
      <c r="BH683">
        <v>1</v>
      </c>
      <c r="BI683">
        <f t="shared" si="34"/>
        <v>11</v>
      </c>
      <c r="BJ683">
        <f t="shared" si="35"/>
        <v>0.0909090909090909</v>
      </c>
    </row>
    <row r="684" spans="1:62">
      <c r="A684" s="1">
        <v>608343348</v>
      </c>
      <c r="B684">
        <v>32</v>
      </c>
      <c r="C684" t="s">
        <v>59</v>
      </c>
      <c r="D684" t="s">
        <v>60</v>
      </c>
      <c r="E684" t="s">
        <v>61</v>
      </c>
      <c r="F684" t="s">
        <v>87</v>
      </c>
      <c r="G684" t="s">
        <v>60</v>
      </c>
      <c r="H684" t="s">
        <v>865</v>
      </c>
      <c r="I684" t="s">
        <v>209</v>
      </c>
      <c r="J684" s="2">
        <v>433.14</v>
      </c>
      <c r="K684">
        <v>10</v>
      </c>
      <c r="L684" t="s">
        <v>78</v>
      </c>
      <c r="M684">
        <v>3</v>
      </c>
      <c r="N684">
        <v>1</v>
      </c>
      <c r="O684">
        <v>2</v>
      </c>
      <c r="P684" t="s">
        <v>79</v>
      </c>
      <c r="Q684" t="s">
        <v>80</v>
      </c>
      <c r="R684">
        <v>2</v>
      </c>
      <c r="S684">
        <v>3</v>
      </c>
      <c r="T684" t="s">
        <v>74</v>
      </c>
      <c r="U684" t="s">
        <v>68</v>
      </c>
      <c r="V684" t="s">
        <v>91</v>
      </c>
      <c r="W684" s="3">
        <v>45482</v>
      </c>
      <c r="X684" t="b">
        <v>0</v>
      </c>
      <c r="Y684" t="b">
        <v>0</v>
      </c>
      <c r="Z684" t="s">
        <v>92</v>
      </c>
      <c r="AA684" t="s">
        <v>71</v>
      </c>
      <c r="AB684">
        <v>5</v>
      </c>
      <c r="AO684" t="str">
        <f t="shared" si="36"/>
        <v>26-40</v>
      </c>
      <c r="BD684">
        <v>10</v>
      </c>
      <c r="BF684" cm="1">
        <f t="array" ref="BF684">CORREL(J684:J1684,S684:S1684)</f>
        <v>-0.0286539728028153</v>
      </c>
      <c r="BH684">
        <v>3</v>
      </c>
      <c r="BI684">
        <f t="shared" si="34"/>
        <v>3.33333333333333</v>
      </c>
      <c r="BJ684">
        <f t="shared" si="35"/>
        <v>0.9</v>
      </c>
    </row>
    <row r="685" spans="1:62">
      <c r="A685" s="1">
        <v>777425663</v>
      </c>
      <c r="B685">
        <v>47</v>
      </c>
      <c r="C685" t="s">
        <v>59</v>
      </c>
      <c r="D685" t="s">
        <v>60</v>
      </c>
      <c r="E685" t="s">
        <v>98</v>
      </c>
      <c r="F685" t="s">
        <v>75</v>
      </c>
      <c r="G685" t="s">
        <v>74</v>
      </c>
      <c r="H685" t="s">
        <v>866</v>
      </c>
      <c r="I685" t="s">
        <v>209</v>
      </c>
      <c r="J685" s="2">
        <v>375.7</v>
      </c>
      <c r="K685">
        <v>6</v>
      </c>
      <c r="L685" t="s">
        <v>85</v>
      </c>
      <c r="M685">
        <v>3</v>
      </c>
      <c r="N685">
        <v>1</v>
      </c>
      <c r="O685">
        <v>2</v>
      </c>
      <c r="P685" t="s">
        <v>84</v>
      </c>
      <c r="Q685" t="s">
        <v>109</v>
      </c>
      <c r="R685">
        <v>2</v>
      </c>
      <c r="S685">
        <v>10</v>
      </c>
      <c r="T685" t="s">
        <v>79</v>
      </c>
      <c r="U685" t="s">
        <v>68</v>
      </c>
      <c r="V685" t="s">
        <v>96</v>
      </c>
      <c r="W685" s="3">
        <v>45562</v>
      </c>
      <c r="X685" t="b">
        <v>1</v>
      </c>
      <c r="Y685" t="b">
        <v>0</v>
      </c>
      <c r="Z685" t="s">
        <v>82</v>
      </c>
      <c r="AA685" t="s">
        <v>71</v>
      </c>
      <c r="AB685">
        <v>10</v>
      </c>
      <c r="AO685" t="str">
        <f t="shared" si="36"/>
        <v>41-60</v>
      </c>
      <c r="BD685">
        <v>6</v>
      </c>
      <c r="BF685" cm="1">
        <f t="array" ref="BF685">CORREL(J685:J1685,S685:S1685)</f>
        <v>-0.025650790784036</v>
      </c>
      <c r="BH685">
        <v>10</v>
      </c>
      <c r="BI685">
        <f t="shared" si="34"/>
        <v>0.6</v>
      </c>
      <c r="BJ685">
        <f t="shared" si="35"/>
        <v>16.6666666666667</v>
      </c>
    </row>
    <row r="686" spans="1:62">
      <c r="A686" s="4" t="s">
        <v>867</v>
      </c>
      <c r="B686">
        <v>21</v>
      </c>
      <c r="C686" t="s">
        <v>73</v>
      </c>
      <c r="D686" t="s">
        <v>60</v>
      </c>
      <c r="E686" t="s">
        <v>86</v>
      </c>
      <c r="F686" t="s">
        <v>87</v>
      </c>
      <c r="G686" t="s">
        <v>60</v>
      </c>
      <c r="H686" t="s">
        <v>868</v>
      </c>
      <c r="I686" t="s">
        <v>178</v>
      </c>
      <c r="J686" s="2">
        <v>381.3</v>
      </c>
      <c r="K686">
        <v>12</v>
      </c>
      <c r="L686" t="s">
        <v>85</v>
      </c>
      <c r="M686">
        <v>2</v>
      </c>
      <c r="N686">
        <v>1</v>
      </c>
      <c r="O686">
        <v>1</v>
      </c>
      <c r="P686" t="s">
        <v>74</v>
      </c>
      <c r="Q686" t="s">
        <v>109</v>
      </c>
      <c r="R686">
        <v>0</v>
      </c>
      <c r="S686">
        <v>4</v>
      </c>
      <c r="T686" t="s">
        <v>84</v>
      </c>
      <c r="U686" t="s">
        <v>105</v>
      </c>
      <c r="V686" t="s">
        <v>69</v>
      </c>
      <c r="W686" s="3">
        <v>45300</v>
      </c>
      <c r="X686" t="b">
        <v>0</v>
      </c>
      <c r="Y686" t="b">
        <v>0</v>
      </c>
      <c r="Z686" t="s">
        <v>102</v>
      </c>
      <c r="AA686" t="s">
        <v>97</v>
      </c>
      <c r="AB686">
        <v>7</v>
      </c>
      <c r="AO686" t="str">
        <f t="shared" si="36"/>
        <v>18-25</v>
      </c>
      <c r="BD686">
        <v>12</v>
      </c>
      <c r="BF686" cm="1">
        <f t="array" ref="BF686">CORREL(J686:J1686,S686:S1686)</f>
        <v>-0.0296930137371449</v>
      </c>
      <c r="BH686">
        <v>4</v>
      </c>
      <c r="BI686">
        <f t="shared" si="34"/>
        <v>3</v>
      </c>
      <c r="BJ686">
        <f t="shared" si="35"/>
        <v>1.33333333333333</v>
      </c>
    </row>
    <row r="687" spans="1:62">
      <c r="A687" s="1">
        <v>861829556</v>
      </c>
      <c r="B687">
        <v>34</v>
      </c>
      <c r="C687" t="s">
        <v>73</v>
      </c>
      <c r="D687" t="s">
        <v>74</v>
      </c>
      <c r="E687" t="s">
        <v>98</v>
      </c>
      <c r="F687" t="s">
        <v>75</v>
      </c>
      <c r="G687" t="s">
        <v>74</v>
      </c>
      <c r="H687" t="s">
        <v>869</v>
      </c>
      <c r="I687" t="s">
        <v>131</v>
      </c>
      <c r="J687" s="2">
        <v>210.21</v>
      </c>
      <c r="K687">
        <v>4</v>
      </c>
      <c r="L687" t="s">
        <v>65</v>
      </c>
      <c r="M687">
        <v>4</v>
      </c>
      <c r="N687">
        <v>1</v>
      </c>
      <c r="O687">
        <v>2</v>
      </c>
      <c r="P687" t="s">
        <v>74</v>
      </c>
      <c r="Q687" t="s">
        <v>109</v>
      </c>
      <c r="R687">
        <v>0</v>
      </c>
      <c r="S687">
        <v>10</v>
      </c>
      <c r="T687" t="s">
        <v>74</v>
      </c>
      <c r="U687" t="s">
        <v>105</v>
      </c>
      <c r="V687" t="s">
        <v>81</v>
      </c>
      <c r="W687" s="3">
        <v>45478</v>
      </c>
      <c r="X687" t="b">
        <v>0</v>
      </c>
      <c r="Y687" t="b">
        <v>1</v>
      </c>
      <c r="Z687" t="s">
        <v>70</v>
      </c>
      <c r="AA687" t="s">
        <v>71</v>
      </c>
      <c r="AB687">
        <v>14</v>
      </c>
      <c r="AO687" t="str">
        <f t="shared" si="36"/>
        <v>26-40</v>
      </c>
      <c r="BD687">
        <v>4</v>
      </c>
      <c r="BF687" cm="1">
        <f t="array" ref="BF687">CORREL(J687:J1687,S687:S1687)</f>
        <v>-0.0285413049932829</v>
      </c>
      <c r="BH687">
        <v>10</v>
      </c>
      <c r="BI687">
        <f t="shared" si="34"/>
        <v>0.4</v>
      </c>
      <c r="BJ687">
        <f t="shared" si="35"/>
        <v>25</v>
      </c>
    </row>
    <row r="688" spans="1:62">
      <c r="A688" s="1">
        <v>144152802</v>
      </c>
      <c r="B688">
        <v>29</v>
      </c>
      <c r="C688" t="s">
        <v>73</v>
      </c>
      <c r="D688" t="s">
        <v>60</v>
      </c>
      <c r="E688" t="s">
        <v>98</v>
      </c>
      <c r="F688" t="s">
        <v>87</v>
      </c>
      <c r="G688" t="s">
        <v>74</v>
      </c>
      <c r="H688" t="s">
        <v>870</v>
      </c>
      <c r="I688" t="s">
        <v>147</v>
      </c>
      <c r="J688" s="2">
        <v>408.81</v>
      </c>
      <c r="K688">
        <v>8</v>
      </c>
      <c r="L688" t="s">
        <v>65</v>
      </c>
      <c r="M688">
        <v>5</v>
      </c>
      <c r="N688">
        <v>4</v>
      </c>
      <c r="O688">
        <v>2</v>
      </c>
      <c r="P688" t="s">
        <v>84</v>
      </c>
      <c r="Q688" t="s">
        <v>109</v>
      </c>
      <c r="R688">
        <v>1</v>
      </c>
      <c r="S688">
        <v>3</v>
      </c>
      <c r="T688" t="s">
        <v>79</v>
      </c>
      <c r="U688" t="s">
        <v>105</v>
      </c>
      <c r="V688" t="s">
        <v>91</v>
      </c>
      <c r="W688" s="3">
        <v>45489</v>
      </c>
      <c r="X688" t="b">
        <v>0</v>
      </c>
      <c r="Y688" t="b">
        <v>1</v>
      </c>
      <c r="Z688" t="s">
        <v>82</v>
      </c>
      <c r="AA688" t="s">
        <v>97</v>
      </c>
      <c r="AB688">
        <v>12</v>
      </c>
      <c r="AO688" t="str">
        <f t="shared" si="36"/>
        <v>26-40</v>
      </c>
      <c r="BD688">
        <v>8</v>
      </c>
      <c r="BF688" cm="1">
        <f t="array" ref="BF688">CORREL(J688:J1688,S688:S1688)</f>
        <v>-0.0259888745097052</v>
      </c>
      <c r="BH688">
        <v>3</v>
      </c>
      <c r="BI688">
        <f t="shared" si="34"/>
        <v>2.66666666666667</v>
      </c>
      <c r="BJ688">
        <f t="shared" si="35"/>
        <v>1.125</v>
      </c>
    </row>
    <row r="689" spans="1:62">
      <c r="A689" s="1">
        <v>494699163</v>
      </c>
      <c r="B689">
        <v>20</v>
      </c>
      <c r="C689" t="s">
        <v>59</v>
      </c>
      <c r="D689" t="s">
        <v>60</v>
      </c>
      <c r="E689" t="s">
        <v>103</v>
      </c>
      <c r="F689" t="s">
        <v>62</v>
      </c>
      <c r="G689" t="s">
        <v>74</v>
      </c>
      <c r="H689" t="s">
        <v>871</v>
      </c>
      <c r="I689" t="s">
        <v>209</v>
      </c>
      <c r="J689" s="2">
        <v>118.65</v>
      </c>
      <c r="K689">
        <v>10</v>
      </c>
      <c r="L689" t="s">
        <v>65</v>
      </c>
      <c r="M689">
        <v>1</v>
      </c>
      <c r="N689">
        <v>3</v>
      </c>
      <c r="O689">
        <v>0</v>
      </c>
      <c r="P689" t="s">
        <v>84</v>
      </c>
      <c r="Q689" t="s">
        <v>109</v>
      </c>
      <c r="R689">
        <v>0</v>
      </c>
      <c r="S689">
        <v>2</v>
      </c>
      <c r="T689" t="s">
        <v>84</v>
      </c>
      <c r="U689" t="s">
        <v>90</v>
      </c>
      <c r="V689" t="s">
        <v>69</v>
      </c>
      <c r="W689" s="3">
        <v>45300</v>
      </c>
      <c r="X689" t="b">
        <v>1</v>
      </c>
      <c r="Y689" t="b">
        <v>1</v>
      </c>
      <c r="Z689" t="s">
        <v>92</v>
      </c>
      <c r="AA689" t="s">
        <v>83</v>
      </c>
      <c r="AB689">
        <v>13</v>
      </c>
      <c r="AO689" t="str">
        <f t="shared" si="36"/>
        <v>18-25</v>
      </c>
      <c r="BD689">
        <v>10</v>
      </c>
      <c r="BF689" cm="1">
        <f t="array" ref="BF689">CORREL(J689:J1689,S689:S1689)</f>
        <v>-0.0234127491391844</v>
      </c>
      <c r="BH689">
        <v>2</v>
      </c>
      <c r="BI689">
        <f t="shared" si="34"/>
        <v>5</v>
      </c>
      <c r="BJ689">
        <f t="shared" si="35"/>
        <v>0.4</v>
      </c>
    </row>
    <row r="690" spans="1:62">
      <c r="A690" s="1">
        <v>679376624</v>
      </c>
      <c r="B690">
        <v>50</v>
      </c>
      <c r="C690" t="s">
        <v>73</v>
      </c>
      <c r="D690" t="s">
        <v>74</v>
      </c>
      <c r="E690" t="s">
        <v>103</v>
      </c>
      <c r="F690" t="s">
        <v>62</v>
      </c>
      <c r="G690" t="s">
        <v>60</v>
      </c>
      <c r="H690" t="s">
        <v>872</v>
      </c>
      <c r="I690" t="s">
        <v>133</v>
      </c>
      <c r="J690" s="2">
        <v>166.45</v>
      </c>
      <c r="K690">
        <v>7</v>
      </c>
      <c r="L690" t="s">
        <v>65</v>
      </c>
      <c r="M690">
        <v>5</v>
      </c>
      <c r="N690">
        <v>2</v>
      </c>
      <c r="O690">
        <v>2</v>
      </c>
      <c r="P690" t="s">
        <v>84</v>
      </c>
      <c r="Q690" t="s">
        <v>109</v>
      </c>
      <c r="R690">
        <v>2</v>
      </c>
      <c r="S690">
        <v>1</v>
      </c>
      <c r="T690" t="s">
        <v>74</v>
      </c>
      <c r="U690" t="s">
        <v>90</v>
      </c>
      <c r="V690" t="s">
        <v>110</v>
      </c>
      <c r="W690" s="3">
        <v>45517</v>
      </c>
      <c r="X690" t="b">
        <v>1</v>
      </c>
      <c r="Y690" t="b">
        <v>0</v>
      </c>
      <c r="Z690" t="s">
        <v>102</v>
      </c>
      <c r="AA690" t="s">
        <v>97</v>
      </c>
      <c r="AB690">
        <v>12</v>
      </c>
      <c r="AO690" t="str">
        <f t="shared" si="36"/>
        <v>41-60</v>
      </c>
      <c r="BD690">
        <v>7</v>
      </c>
      <c r="BF690" cm="1">
        <f t="array" ref="BF690">CORREL(J690:J1690,S690:S1690)</f>
        <v>-0.0281050607225246</v>
      </c>
      <c r="BH690">
        <v>1</v>
      </c>
      <c r="BI690">
        <f t="shared" si="34"/>
        <v>7</v>
      </c>
      <c r="BJ690">
        <f t="shared" si="35"/>
        <v>0.142857142857143</v>
      </c>
    </row>
    <row r="691" spans="1:62">
      <c r="A691" s="1">
        <v>917619492</v>
      </c>
      <c r="B691">
        <v>29</v>
      </c>
      <c r="C691" t="s">
        <v>59</v>
      </c>
      <c r="D691" t="s">
        <v>60</v>
      </c>
      <c r="E691" t="s">
        <v>103</v>
      </c>
      <c r="F691" t="s">
        <v>87</v>
      </c>
      <c r="G691" t="s">
        <v>74</v>
      </c>
      <c r="H691" t="s">
        <v>873</v>
      </c>
      <c r="I691" t="s">
        <v>178</v>
      </c>
      <c r="J691" s="2">
        <v>385.32</v>
      </c>
      <c r="K691">
        <v>10</v>
      </c>
      <c r="L691" t="s">
        <v>85</v>
      </c>
      <c r="M691">
        <v>1</v>
      </c>
      <c r="N691">
        <v>1</v>
      </c>
      <c r="O691">
        <v>1</v>
      </c>
      <c r="P691" t="s">
        <v>84</v>
      </c>
      <c r="Q691" t="s">
        <v>109</v>
      </c>
      <c r="R691">
        <v>0</v>
      </c>
      <c r="S691">
        <v>1</v>
      </c>
      <c r="T691" t="s">
        <v>79</v>
      </c>
      <c r="U691" t="s">
        <v>90</v>
      </c>
      <c r="V691" t="s">
        <v>81</v>
      </c>
      <c r="W691" s="3">
        <v>45540</v>
      </c>
      <c r="X691" t="b">
        <v>1</v>
      </c>
      <c r="Y691" t="b">
        <v>1</v>
      </c>
      <c r="Z691" t="s">
        <v>92</v>
      </c>
      <c r="AA691" t="s">
        <v>83</v>
      </c>
      <c r="AB691">
        <v>9</v>
      </c>
      <c r="AO691" t="str">
        <f t="shared" si="36"/>
        <v>26-40</v>
      </c>
      <c r="BD691">
        <v>10</v>
      </c>
      <c r="BF691" cm="1">
        <f t="array" ref="BF691">CORREL(J691:J1691,S691:S1691)</f>
        <v>-0.0324579031356162</v>
      </c>
      <c r="BH691">
        <v>1</v>
      </c>
      <c r="BI691">
        <f t="shared" si="34"/>
        <v>10</v>
      </c>
      <c r="BJ691">
        <f t="shared" si="35"/>
        <v>0.1</v>
      </c>
    </row>
    <row r="692" spans="1:62">
      <c r="A692" s="1">
        <v>191847665</v>
      </c>
      <c r="B692">
        <v>25</v>
      </c>
      <c r="C692" t="s">
        <v>175</v>
      </c>
      <c r="D692" t="s">
        <v>60</v>
      </c>
      <c r="E692" t="s">
        <v>61</v>
      </c>
      <c r="F692" t="s">
        <v>62</v>
      </c>
      <c r="G692" t="s">
        <v>74</v>
      </c>
      <c r="H692" t="s">
        <v>874</v>
      </c>
      <c r="I692" t="s">
        <v>115</v>
      </c>
      <c r="J692" s="2">
        <v>293.99</v>
      </c>
      <c r="K692">
        <v>10</v>
      </c>
      <c r="L692" t="s">
        <v>65</v>
      </c>
      <c r="M692">
        <v>3</v>
      </c>
      <c r="N692">
        <v>4</v>
      </c>
      <c r="O692">
        <v>0</v>
      </c>
      <c r="P692" t="s">
        <v>66</v>
      </c>
      <c r="Q692" t="s">
        <v>67</v>
      </c>
      <c r="R692">
        <v>2</v>
      </c>
      <c r="S692">
        <v>7</v>
      </c>
      <c r="T692" t="s">
        <v>66</v>
      </c>
      <c r="U692" t="s">
        <v>68</v>
      </c>
      <c r="V692" t="s">
        <v>69</v>
      </c>
      <c r="W692" s="3">
        <v>45564</v>
      </c>
      <c r="X692" t="b">
        <v>0</v>
      </c>
      <c r="Y692" t="b">
        <v>1</v>
      </c>
      <c r="Z692" t="s">
        <v>82</v>
      </c>
      <c r="AA692" t="s">
        <v>71</v>
      </c>
      <c r="AB692">
        <v>5</v>
      </c>
      <c r="AO692" t="str">
        <f t="shared" si="36"/>
        <v>18-25</v>
      </c>
      <c r="BD692">
        <v>10</v>
      </c>
      <c r="BF692" cm="1">
        <f t="array" ref="BF692">CORREL(J692:J1692,S692:S1692)</f>
        <v>-0.0285054129847869</v>
      </c>
      <c r="BH692">
        <v>7</v>
      </c>
      <c r="BI692">
        <f t="shared" si="34"/>
        <v>1.42857142857143</v>
      </c>
      <c r="BJ692">
        <f t="shared" si="35"/>
        <v>4.9</v>
      </c>
    </row>
    <row r="693" spans="1:62">
      <c r="A693" s="1">
        <v>193839741</v>
      </c>
      <c r="B693">
        <v>37</v>
      </c>
      <c r="C693" t="s">
        <v>73</v>
      </c>
      <c r="D693" t="s">
        <v>60</v>
      </c>
      <c r="E693" t="s">
        <v>98</v>
      </c>
      <c r="F693" t="s">
        <v>75</v>
      </c>
      <c r="G693" t="s">
        <v>60</v>
      </c>
      <c r="H693" t="s">
        <v>875</v>
      </c>
      <c r="I693" t="s">
        <v>137</v>
      </c>
      <c r="J693" s="2">
        <v>161.41</v>
      </c>
      <c r="K693">
        <v>9</v>
      </c>
      <c r="L693" t="s">
        <v>65</v>
      </c>
      <c r="M693">
        <v>1</v>
      </c>
      <c r="N693">
        <v>4</v>
      </c>
      <c r="O693">
        <v>0</v>
      </c>
      <c r="P693" t="s">
        <v>84</v>
      </c>
      <c r="Q693" t="s">
        <v>109</v>
      </c>
      <c r="R693">
        <v>1</v>
      </c>
      <c r="S693">
        <v>8</v>
      </c>
      <c r="T693" t="s">
        <v>74</v>
      </c>
      <c r="U693" t="s">
        <v>105</v>
      </c>
      <c r="V693" t="s">
        <v>81</v>
      </c>
      <c r="W693" s="3">
        <v>45389</v>
      </c>
      <c r="X693" t="b">
        <v>1</v>
      </c>
      <c r="Y693" t="b">
        <v>0</v>
      </c>
      <c r="Z693" t="s">
        <v>92</v>
      </c>
      <c r="AA693" t="s">
        <v>83</v>
      </c>
      <c r="AB693">
        <v>3</v>
      </c>
      <c r="AO693" t="str">
        <f t="shared" si="36"/>
        <v>26-40</v>
      </c>
      <c r="BD693">
        <v>9</v>
      </c>
      <c r="BF693" cm="1">
        <f t="array" ref="BF693">CORREL(J693:J1693,S693:S1693)</f>
        <v>-0.0287593554362162</v>
      </c>
      <c r="BH693">
        <v>8</v>
      </c>
      <c r="BI693">
        <f t="shared" si="34"/>
        <v>1.125</v>
      </c>
      <c r="BJ693">
        <f t="shared" si="35"/>
        <v>7.11111111111111</v>
      </c>
    </row>
    <row r="694" spans="1:62">
      <c r="A694" s="1">
        <v>156254047</v>
      </c>
      <c r="B694">
        <v>39</v>
      </c>
      <c r="C694" t="s">
        <v>73</v>
      </c>
      <c r="D694" t="s">
        <v>60</v>
      </c>
      <c r="E694" t="s">
        <v>86</v>
      </c>
      <c r="F694" t="s">
        <v>87</v>
      </c>
      <c r="G694" t="s">
        <v>60</v>
      </c>
      <c r="H694" t="s">
        <v>439</v>
      </c>
      <c r="I694" t="s">
        <v>156</v>
      </c>
      <c r="J694" s="2">
        <v>130.92</v>
      </c>
      <c r="K694">
        <v>2</v>
      </c>
      <c r="L694" t="s">
        <v>85</v>
      </c>
      <c r="M694">
        <v>1</v>
      </c>
      <c r="N694">
        <v>2</v>
      </c>
      <c r="O694">
        <v>1</v>
      </c>
      <c r="P694" t="s">
        <v>74</v>
      </c>
      <c r="Q694" t="s">
        <v>109</v>
      </c>
      <c r="R694">
        <v>2</v>
      </c>
      <c r="S694">
        <v>2</v>
      </c>
      <c r="T694" t="s">
        <v>66</v>
      </c>
      <c r="U694" t="s">
        <v>68</v>
      </c>
      <c r="V694" t="s">
        <v>110</v>
      </c>
      <c r="W694" s="3">
        <v>45644</v>
      </c>
      <c r="X694" t="b">
        <v>1</v>
      </c>
      <c r="Y694" t="b">
        <v>1</v>
      </c>
      <c r="Z694" t="s">
        <v>92</v>
      </c>
      <c r="AA694" t="s">
        <v>71</v>
      </c>
      <c r="AB694">
        <v>9</v>
      </c>
      <c r="AO694" t="str">
        <f t="shared" si="36"/>
        <v>26-40</v>
      </c>
      <c r="BD694">
        <v>2</v>
      </c>
      <c r="BF694" cm="1">
        <f t="array" ref="BF694">CORREL(J694:J1694,S694:S1694)</f>
        <v>-0.0261454352503437</v>
      </c>
      <c r="BH694">
        <v>2</v>
      </c>
      <c r="BI694">
        <f t="shared" si="34"/>
        <v>1</v>
      </c>
      <c r="BJ694">
        <f t="shared" si="35"/>
        <v>2</v>
      </c>
    </row>
    <row r="695" spans="1:62">
      <c r="A695" s="1">
        <v>818204735</v>
      </c>
      <c r="B695">
        <v>48</v>
      </c>
      <c r="C695" t="s">
        <v>59</v>
      </c>
      <c r="D695" t="s">
        <v>60</v>
      </c>
      <c r="E695" t="s">
        <v>103</v>
      </c>
      <c r="F695" t="s">
        <v>62</v>
      </c>
      <c r="G695" t="s">
        <v>74</v>
      </c>
      <c r="H695" t="s">
        <v>876</v>
      </c>
      <c r="I695" t="s">
        <v>137</v>
      </c>
      <c r="J695" s="2">
        <v>468.6</v>
      </c>
      <c r="K695">
        <v>4</v>
      </c>
      <c r="L695" t="s">
        <v>65</v>
      </c>
      <c r="M695">
        <v>3</v>
      </c>
      <c r="N695">
        <v>4</v>
      </c>
      <c r="O695">
        <v>2</v>
      </c>
      <c r="P695" t="s">
        <v>79</v>
      </c>
      <c r="Q695" t="s">
        <v>67</v>
      </c>
      <c r="R695">
        <v>0</v>
      </c>
      <c r="S695">
        <v>6</v>
      </c>
      <c r="T695" t="s">
        <v>66</v>
      </c>
      <c r="U695" t="s">
        <v>105</v>
      </c>
      <c r="V695" t="s">
        <v>81</v>
      </c>
      <c r="W695" s="3">
        <v>45457</v>
      </c>
      <c r="X695" t="b">
        <v>0</v>
      </c>
      <c r="Y695" t="b">
        <v>1</v>
      </c>
      <c r="Z695" t="s">
        <v>70</v>
      </c>
      <c r="AA695" t="s">
        <v>71</v>
      </c>
      <c r="AB695">
        <v>2</v>
      </c>
      <c r="AO695" t="str">
        <f t="shared" si="36"/>
        <v>41-60</v>
      </c>
      <c r="BD695">
        <v>4</v>
      </c>
      <c r="BF695" cm="1">
        <f t="array" ref="BF695">CORREL(J695:J1695,S695:S1695)</f>
        <v>-0.0306222937544693</v>
      </c>
      <c r="BH695">
        <v>6</v>
      </c>
      <c r="BI695">
        <f t="shared" si="34"/>
        <v>0.666666666666667</v>
      </c>
      <c r="BJ695">
        <f t="shared" si="35"/>
        <v>9</v>
      </c>
    </row>
    <row r="696" spans="1:62">
      <c r="A696" s="1">
        <v>714366908</v>
      </c>
      <c r="B696">
        <v>47</v>
      </c>
      <c r="C696" t="s">
        <v>73</v>
      </c>
      <c r="D696" t="s">
        <v>74</v>
      </c>
      <c r="E696" t="s">
        <v>103</v>
      </c>
      <c r="F696" t="s">
        <v>62</v>
      </c>
      <c r="G696" t="s">
        <v>60</v>
      </c>
      <c r="H696" t="s">
        <v>877</v>
      </c>
      <c r="I696" t="s">
        <v>137</v>
      </c>
      <c r="J696" s="2">
        <v>237.57</v>
      </c>
      <c r="K696">
        <v>5</v>
      </c>
      <c r="L696" t="s">
        <v>85</v>
      </c>
      <c r="M696">
        <v>3</v>
      </c>
      <c r="N696">
        <v>3</v>
      </c>
      <c r="O696">
        <v>0</v>
      </c>
      <c r="P696" t="s">
        <v>79</v>
      </c>
      <c r="Q696" t="s">
        <v>67</v>
      </c>
      <c r="R696">
        <v>0</v>
      </c>
      <c r="S696">
        <v>3</v>
      </c>
      <c r="T696" t="s">
        <v>79</v>
      </c>
      <c r="U696" t="s">
        <v>90</v>
      </c>
      <c r="V696" t="s">
        <v>110</v>
      </c>
      <c r="W696" s="3">
        <v>45407</v>
      </c>
      <c r="X696" t="b">
        <v>1</v>
      </c>
      <c r="Y696" t="b">
        <v>1</v>
      </c>
      <c r="Z696" t="s">
        <v>70</v>
      </c>
      <c r="AA696" t="s">
        <v>71</v>
      </c>
      <c r="AB696">
        <v>11</v>
      </c>
      <c r="AO696" t="str">
        <f t="shared" si="36"/>
        <v>41-60</v>
      </c>
      <c r="BD696">
        <v>5</v>
      </c>
      <c r="BF696" cm="1">
        <f t="array" ref="BF696">CORREL(J696:J1696,S696:S1696)</f>
        <v>-0.0317967109821659</v>
      </c>
      <c r="BH696">
        <v>3</v>
      </c>
      <c r="BI696">
        <f t="shared" si="34"/>
        <v>1.66666666666667</v>
      </c>
      <c r="BJ696">
        <f t="shared" si="35"/>
        <v>1.8</v>
      </c>
    </row>
    <row r="697" spans="1:62">
      <c r="A697" s="1">
        <v>731455784</v>
      </c>
      <c r="B697">
        <v>50</v>
      </c>
      <c r="C697" t="s">
        <v>59</v>
      </c>
      <c r="D697" t="s">
        <v>60</v>
      </c>
      <c r="E697" t="s">
        <v>103</v>
      </c>
      <c r="F697" t="s">
        <v>75</v>
      </c>
      <c r="G697" t="s">
        <v>74</v>
      </c>
      <c r="H697" t="s">
        <v>878</v>
      </c>
      <c r="I697" t="s">
        <v>100</v>
      </c>
      <c r="J697" s="2">
        <v>395.18</v>
      </c>
      <c r="K697">
        <v>5</v>
      </c>
      <c r="L697" t="s">
        <v>78</v>
      </c>
      <c r="M697">
        <v>2</v>
      </c>
      <c r="N697">
        <v>2</v>
      </c>
      <c r="O697">
        <v>1</v>
      </c>
      <c r="P697" t="s">
        <v>66</v>
      </c>
      <c r="Q697" t="s">
        <v>80</v>
      </c>
      <c r="R697">
        <v>0</v>
      </c>
      <c r="S697">
        <v>5</v>
      </c>
      <c r="T697" t="s">
        <v>74</v>
      </c>
      <c r="U697" t="s">
        <v>90</v>
      </c>
      <c r="V697" t="s">
        <v>96</v>
      </c>
      <c r="W697" s="3">
        <v>45493</v>
      </c>
      <c r="X697" t="b">
        <v>1</v>
      </c>
      <c r="Y697" t="b">
        <v>1</v>
      </c>
      <c r="Z697" t="s">
        <v>70</v>
      </c>
      <c r="AA697" t="s">
        <v>83</v>
      </c>
      <c r="AB697">
        <v>6</v>
      </c>
      <c r="AO697" t="str">
        <f t="shared" si="36"/>
        <v>41-60</v>
      </c>
      <c r="BD697">
        <v>5</v>
      </c>
      <c r="BF697" cm="1">
        <f t="array" ref="BF697">CORREL(J697:J1697,S697:S1697)</f>
        <v>-0.0326812987130254</v>
      </c>
      <c r="BH697">
        <v>5</v>
      </c>
      <c r="BI697">
        <f t="shared" si="34"/>
        <v>1</v>
      </c>
      <c r="BJ697">
        <f t="shared" si="35"/>
        <v>5</v>
      </c>
    </row>
    <row r="698" spans="1:62">
      <c r="A698" s="1">
        <v>506371630</v>
      </c>
      <c r="B698">
        <v>42</v>
      </c>
      <c r="C698" t="s">
        <v>188</v>
      </c>
      <c r="D698" t="s">
        <v>74</v>
      </c>
      <c r="E698" t="s">
        <v>61</v>
      </c>
      <c r="F698" t="s">
        <v>75</v>
      </c>
      <c r="G698" t="s">
        <v>60</v>
      </c>
      <c r="H698" t="s">
        <v>879</v>
      </c>
      <c r="I698" t="s">
        <v>131</v>
      </c>
      <c r="J698" s="2">
        <v>427.94</v>
      </c>
      <c r="K698">
        <v>12</v>
      </c>
      <c r="L698" t="s">
        <v>65</v>
      </c>
      <c r="M698">
        <v>5</v>
      </c>
      <c r="N698">
        <v>4</v>
      </c>
      <c r="O698">
        <v>1.3</v>
      </c>
      <c r="P698" t="s">
        <v>74</v>
      </c>
      <c r="Q698" t="s">
        <v>80</v>
      </c>
      <c r="R698">
        <v>1</v>
      </c>
      <c r="S698">
        <v>2</v>
      </c>
      <c r="T698" t="s">
        <v>66</v>
      </c>
      <c r="U698" t="s">
        <v>90</v>
      </c>
      <c r="V698" t="s">
        <v>96</v>
      </c>
      <c r="W698" s="3">
        <v>45380</v>
      </c>
      <c r="X698" t="b">
        <v>0</v>
      </c>
      <c r="Y698" t="b">
        <v>0</v>
      </c>
      <c r="Z698" t="s">
        <v>92</v>
      </c>
      <c r="AA698" t="s">
        <v>71</v>
      </c>
      <c r="AB698">
        <v>10</v>
      </c>
      <c r="AO698" t="str">
        <f t="shared" si="36"/>
        <v>41-60</v>
      </c>
      <c r="BD698">
        <v>12</v>
      </c>
      <c r="BF698" cm="1">
        <f t="array" ref="BF698">CORREL(J698:J1698,S698:S1698)</f>
        <v>-0.0323334249568749</v>
      </c>
      <c r="BH698">
        <v>2</v>
      </c>
      <c r="BI698">
        <f t="shared" si="34"/>
        <v>6</v>
      </c>
      <c r="BJ698">
        <f t="shared" si="35"/>
        <v>0.333333333333333</v>
      </c>
    </row>
    <row r="699" spans="1:62">
      <c r="A699" s="1">
        <v>449387475</v>
      </c>
      <c r="B699">
        <v>28</v>
      </c>
      <c r="C699" t="s">
        <v>59</v>
      </c>
      <c r="D699" t="s">
        <v>74</v>
      </c>
      <c r="E699" t="s">
        <v>86</v>
      </c>
      <c r="F699" t="s">
        <v>62</v>
      </c>
      <c r="G699" t="s">
        <v>74</v>
      </c>
      <c r="H699" t="s">
        <v>880</v>
      </c>
      <c r="I699" t="s">
        <v>124</v>
      </c>
      <c r="J699" s="2">
        <v>81.23</v>
      </c>
      <c r="K699">
        <v>9</v>
      </c>
      <c r="L699" t="s">
        <v>65</v>
      </c>
      <c r="M699">
        <v>2</v>
      </c>
      <c r="N699">
        <v>5</v>
      </c>
      <c r="O699">
        <v>2</v>
      </c>
      <c r="P699" t="s">
        <v>74</v>
      </c>
      <c r="Q699" t="s">
        <v>80</v>
      </c>
      <c r="R699">
        <v>1</v>
      </c>
      <c r="S699">
        <v>10</v>
      </c>
      <c r="T699" t="s">
        <v>79</v>
      </c>
      <c r="U699" t="s">
        <v>68</v>
      </c>
      <c r="V699" t="s">
        <v>110</v>
      </c>
      <c r="W699" s="3">
        <v>45377</v>
      </c>
      <c r="X699" t="b">
        <v>0</v>
      </c>
      <c r="Y699" t="b">
        <v>1</v>
      </c>
      <c r="Z699" t="s">
        <v>82</v>
      </c>
      <c r="AA699" t="s">
        <v>83</v>
      </c>
      <c r="AB699">
        <v>6</v>
      </c>
      <c r="AO699" t="str">
        <f t="shared" si="36"/>
        <v>26-40</v>
      </c>
      <c r="BD699">
        <v>9</v>
      </c>
      <c r="BF699" cm="1">
        <f t="array" ref="BF699">CORREL(J699:J1699,S699:S1699)</f>
        <v>-0.0279336024147758</v>
      </c>
      <c r="BH699">
        <v>10</v>
      </c>
      <c r="BI699">
        <f t="shared" si="34"/>
        <v>0.9</v>
      </c>
      <c r="BJ699">
        <f t="shared" si="35"/>
        <v>11.1111111111111</v>
      </c>
    </row>
    <row r="700" spans="1:62">
      <c r="A700" s="1">
        <v>552793045</v>
      </c>
      <c r="B700">
        <v>23</v>
      </c>
      <c r="C700" t="s">
        <v>73</v>
      </c>
      <c r="D700" t="s">
        <v>60</v>
      </c>
      <c r="E700" t="s">
        <v>86</v>
      </c>
      <c r="F700" t="s">
        <v>75</v>
      </c>
      <c r="G700" t="s">
        <v>60</v>
      </c>
      <c r="H700" t="s">
        <v>881</v>
      </c>
      <c r="I700" t="s">
        <v>124</v>
      </c>
      <c r="J700" s="2">
        <v>257.43</v>
      </c>
      <c r="K700">
        <v>5</v>
      </c>
      <c r="L700" t="s">
        <v>85</v>
      </c>
      <c r="M700">
        <v>4</v>
      </c>
      <c r="N700">
        <v>2</v>
      </c>
      <c r="O700">
        <v>0</v>
      </c>
      <c r="P700" t="s">
        <v>84</v>
      </c>
      <c r="Q700" t="s">
        <v>67</v>
      </c>
      <c r="R700">
        <v>1</v>
      </c>
      <c r="S700">
        <v>7</v>
      </c>
      <c r="T700" t="s">
        <v>84</v>
      </c>
      <c r="U700" t="s">
        <v>105</v>
      </c>
      <c r="V700" t="s">
        <v>96</v>
      </c>
      <c r="W700" s="3">
        <v>45396</v>
      </c>
      <c r="X700" t="b">
        <v>1</v>
      </c>
      <c r="Y700" t="b">
        <v>1</v>
      </c>
      <c r="Z700" t="s">
        <v>70</v>
      </c>
      <c r="AA700" t="s">
        <v>83</v>
      </c>
      <c r="AB700">
        <v>13</v>
      </c>
      <c r="AO700" t="str">
        <f t="shared" si="36"/>
        <v>18-25</v>
      </c>
      <c r="BD700">
        <v>5</v>
      </c>
      <c r="BF700" cm="1">
        <f t="array" ref="BF700">CORREL(J700:J1700,S700:S1700)</f>
        <v>-0.0200224763048642</v>
      </c>
      <c r="BH700">
        <v>7</v>
      </c>
      <c r="BI700">
        <f t="shared" si="34"/>
        <v>0.714285714285714</v>
      </c>
      <c r="BJ700">
        <f t="shared" si="35"/>
        <v>9.8</v>
      </c>
    </row>
    <row r="701" spans="1:62">
      <c r="A701" s="1">
        <v>599973903</v>
      </c>
      <c r="B701">
        <v>42</v>
      </c>
      <c r="C701" t="s">
        <v>73</v>
      </c>
      <c r="D701" t="s">
        <v>74</v>
      </c>
      <c r="E701" t="s">
        <v>103</v>
      </c>
      <c r="F701" t="s">
        <v>75</v>
      </c>
      <c r="G701" t="s">
        <v>74</v>
      </c>
      <c r="H701" t="s">
        <v>882</v>
      </c>
      <c r="I701" t="s">
        <v>143</v>
      </c>
      <c r="J701" s="2">
        <v>305.73</v>
      </c>
      <c r="K701">
        <v>7</v>
      </c>
      <c r="L701" t="s">
        <v>65</v>
      </c>
      <c r="M701">
        <v>2</v>
      </c>
      <c r="N701">
        <v>5</v>
      </c>
      <c r="O701">
        <v>1</v>
      </c>
      <c r="P701" t="s">
        <v>79</v>
      </c>
      <c r="Q701" t="s">
        <v>80</v>
      </c>
      <c r="R701">
        <v>2</v>
      </c>
      <c r="S701">
        <v>8</v>
      </c>
      <c r="T701" t="s">
        <v>79</v>
      </c>
      <c r="U701" t="s">
        <v>68</v>
      </c>
      <c r="V701" t="s">
        <v>110</v>
      </c>
      <c r="W701" s="3">
        <v>45640</v>
      </c>
      <c r="X701" t="b">
        <v>1</v>
      </c>
      <c r="Y701" t="b">
        <v>0</v>
      </c>
      <c r="Z701" t="s">
        <v>102</v>
      </c>
      <c r="AA701" t="s">
        <v>97</v>
      </c>
      <c r="AB701">
        <v>14</v>
      </c>
      <c r="AO701" t="str">
        <f t="shared" si="36"/>
        <v>41-60</v>
      </c>
      <c r="BD701">
        <v>7</v>
      </c>
      <c r="BF701" cm="1">
        <f t="array" ref="BF701">CORREL(J701:J1701,S701:S1701)</f>
        <v>-0.0197397997227686</v>
      </c>
      <c r="BH701">
        <v>8</v>
      </c>
      <c r="BI701">
        <f t="shared" si="34"/>
        <v>0.875</v>
      </c>
      <c r="BJ701">
        <f t="shared" si="35"/>
        <v>9.14285714285714</v>
      </c>
    </row>
    <row r="702" spans="1:62">
      <c r="A702" s="1">
        <v>120299344</v>
      </c>
      <c r="B702">
        <v>32</v>
      </c>
      <c r="C702" t="s">
        <v>73</v>
      </c>
      <c r="D702" t="s">
        <v>74</v>
      </c>
      <c r="E702" t="s">
        <v>86</v>
      </c>
      <c r="F702" t="s">
        <v>62</v>
      </c>
      <c r="G702" t="s">
        <v>74</v>
      </c>
      <c r="H702" t="s">
        <v>883</v>
      </c>
      <c r="I702" t="s">
        <v>137</v>
      </c>
      <c r="J702" s="2">
        <v>249.82</v>
      </c>
      <c r="K702">
        <v>10</v>
      </c>
      <c r="L702" t="s">
        <v>78</v>
      </c>
      <c r="M702">
        <v>5</v>
      </c>
      <c r="N702">
        <v>3</v>
      </c>
      <c r="O702">
        <v>1</v>
      </c>
      <c r="P702" t="s">
        <v>74</v>
      </c>
      <c r="Q702" t="s">
        <v>80</v>
      </c>
      <c r="R702">
        <v>2</v>
      </c>
      <c r="S702">
        <v>6</v>
      </c>
      <c r="T702" t="s">
        <v>79</v>
      </c>
      <c r="U702" t="s">
        <v>68</v>
      </c>
      <c r="V702" t="s">
        <v>81</v>
      </c>
      <c r="W702" s="3">
        <v>45516</v>
      </c>
      <c r="X702" t="b">
        <v>1</v>
      </c>
      <c r="Y702" t="b">
        <v>0</v>
      </c>
      <c r="Z702" t="s">
        <v>82</v>
      </c>
      <c r="AA702" t="s">
        <v>71</v>
      </c>
      <c r="AB702">
        <v>10</v>
      </c>
      <c r="AO702" t="str">
        <f t="shared" si="36"/>
        <v>26-40</v>
      </c>
      <c r="BD702">
        <v>10</v>
      </c>
      <c r="BF702" cm="1">
        <f t="array" ref="BF702">CORREL(J702:J1702,S702:S1702)</f>
        <v>-0.0204418885466372</v>
      </c>
      <c r="BH702">
        <v>6</v>
      </c>
      <c r="BI702">
        <f t="shared" si="34"/>
        <v>1.66666666666667</v>
      </c>
      <c r="BJ702">
        <f t="shared" si="35"/>
        <v>3.6</v>
      </c>
    </row>
    <row r="703" spans="1:62">
      <c r="A703" s="1">
        <v>411302570</v>
      </c>
      <c r="B703">
        <v>33</v>
      </c>
      <c r="C703" t="s">
        <v>73</v>
      </c>
      <c r="D703" t="s">
        <v>60</v>
      </c>
      <c r="E703" t="s">
        <v>103</v>
      </c>
      <c r="F703" t="s">
        <v>62</v>
      </c>
      <c r="G703" t="s">
        <v>74</v>
      </c>
      <c r="H703" t="s">
        <v>884</v>
      </c>
      <c r="I703" t="s">
        <v>120</v>
      </c>
      <c r="J703" s="2">
        <v>332.79</v>
      </c>
      <c r="K703">
        <v>11</v>
      </c>
      <c r="L703" t="s">
        <v>85</v>
      </c>
      <c r="M703">
        <v>3</v>
      </c>
      <c r="N703">
        <v>5</v>
      </c>
      <c r="O703">
        <v>2</v>
      </c>
      <c r="P703" t="s">
        <v>66</v>
      </c>
      <c r="Q703" t="s">
        <v>80</v>
      </c>
      <c r="R703">
        <v>2</v>
      </c>
      <c r="S703">
        <v>1</v>
      </c>
      <c r="T703" t="s">
        <v>74</v>
      </c>
      <c r="U703" t="s">
        <v>68</v>
      </c>
      <c r="V703" t="s">
        <v>81</v>
      </c>
      <c r="W703" s="3">
        <v>45533</v>
      </c>
      <c r="X703" t="b">
        <v>0</v>
      </c>
      <c r="Y703" t="b">
        <v>0</v>
      </c>
      <c r="Z703" t="s">
        <v>82</v>
      </c>
      <c r="AA703" t="s">
        <v>71</v>
      </c>
      <c r="AB703">
        <v>4</v>
      </c>
      <c r="AO703" t="str">
        <f t="shared" si="36"/>
        <v>26-40</v>
      </c>
      <c r="BD703">
        <v>11</v>
      </c>
      <c r="BF703" cm="1">
        <f t="array" ref="BF703">CORREL(J703:J1703,S703:S1703)</f>
        <v>-0.0202844407035808</v>
      </c>
      <c r="BH703">
        <v>1</v>
      </c>
      <c r="BI703">
        <f t="shared" si="34"/>
        <v>11</v>
      </c>
      <c r="BJ703">
        <f t="shared" si="35"/>
        <v>0.0909090909090909</v>
      </c>
    </row>
    <row r="704" spans="1:62">
      <c r="A704" s="1">
        <v>252857453</v>
      </c>
      <c r="B704">
        <v>32</v>
      </c>
      <c r="C704" t="s">
        <v>73</v>
      </c>
      <c r="D704" t="s">
        <v>74</v>
      </c>
      <c r="E704" t="s">
        <v>86</v>
      </c>
      <c r="F704" t="s">
        <v>62</v>
      </c>
      <c r="G704" t="s">
        <v>60</v>
      </c>
      <c r="H704" t="s">
        <v>885</v>
      </c>
      <c r="I704" t="s">
        <v>143</v>
      </c>
      <c r="J704" s="2">
        <v>78.9</v>
      </c>
      <c r="K704">
        <v>3</v>
      </c>
      <c r="L704" t="s">
        <v>78</v>
      </c>
      <c r="M704">
        <v>4</v>
      </c>
      <c r="N704">
        <v>1</v>
      </c>
      <c r="O704">
        <v>1</v>
      </c>
      <c r="P704" t="s">
        <v>84</v>
      </c>
      <c r="Q704" t="s">
        <v>80</v>
      </c>
      <c r="R704">
        <v>0</v>
      </c>
      <c r="S704">
        <v>1</v>
      </c>
      <c r="T704" t="s">
        <v>79</v>
      </c>
      <c r="U704" t="s">
        <v>68</v>
      </c>
      <c r="V704" t="s">
        <v>91</v>
      </c>
      <c r="W704" s="3">
        <v>45542</v>
      </c>
      <c r="X704" t="b">
        <v>0</v>
      </c>
      <c r="Y704" t="b">
        <v>1</v>
      </c>
      <c r="Z704" t="s">
        <v>102</v>
      </c>
      <c r="AA704" t="s">
        <v>83</v>
      </c>
      <c r="AB704">
        <v>10</v>
      </c>
      <c r="AO704" t="str">
        <f t="shared" si="36"/>
        <v>26-40</v>
      </c>
      <c r="BD704">
        <v>3</v>
      </c>
      <c r="BF704" cm="1">
        <f t="array" ref="BF704">CORREL(J704:J1704,S704:S1704)</f>
        <v>-0.0181896222769265</v>
      </c>
      <c r="BH704">
        <v>1</v>
      </c>
      <c r="BI704">
        <f t="shared" si="34"/>
        <v>3</v>
      </c>
      <c r="BJ704">
        <f t="shared" si="35"/>
        <v>0.333333333333333</v>
      </c>
    </row>
    <row r="705" spans="1:62">
      <c r="A705" s="1">
        <v>472258686</v>
      </c>
      <c r="B705">
        <v>29</v>
      </c>
      <c r="C705" t="s">
        <v>73</v>
      </c>
      <c r="D705" t="s">
        <v>74</v>
      </c>
      <c r="E705" t="s">
        <v>98</v>
      </c>
      <c r="F705" t="s">
        <v>75</v>
      </c>
      <c r="G705" t="s">
        <v>74</v>
      </c>
      <c r="H705" t="s">
        <v>886</v>
      </c>
      <c r="I705" t="s">
        <v>122</v>
      </c>
      <c r="J705" s="2">
        <v>122.55</v>
      </c>
      <c r="K705">
        <v>9</v>
      </c>
      <c r="L705" t="s">
        <v>65</v>
      </c>
      <c r="M705">
        <v>2</v>
      </c>
      <c r="N705">
        <v>4</v>
      </c>
      <c r="O705">
        <v>0.3</v>
      </c>
      <c r="P705" t="s">
        <v>84</v>
      </c>
      <c r="Q705" t="s">
        <v>80</v>
      </c>
      <c r="R705">
        <v>2</v>
      </c>
      <c r="S705">
        <v>3</v>
      </c>
      <c r="T705" t="s">
        <v>79</v>
      </c>
      <c r="U705" t="s">
        <v>105</v>
      </c>
      <c r="V705" t="s">
        <v>69</v>
      </c>
      <c r="W705" s="3">
        <v>45471</v>
      </c>
      <c r="X705" t="b">
        <v>0</v>
      </c>
      <c r="Y705" t="b">
        <v>0</v>
      </c>
      <c r="Z705" t="s">
        <v>92</v>
      </c>
      <c r="AA705" t="s">
        <v>97</v>
      </c>
      <c r="AB705">
        <v>4</v>
      </c>
      <c r="AO705" t="str">
        <f t="shared" si="36"/>
        <v>26-40</v>
      </c>
      <c r="BD705">
        <v>9</v>
      </c>
      <c r="BF705" cm="1">
        <f t="array" ref="BF705">CORREL(J705:J1705,S705:S1705)</f>
        <v>-0.0262710612622106</v>
      </c>
      <c r="BH705">
        <v>3</v>
      </c>
      <c r="BI705">
        <f t="shared" si="34"/>
        <v>3</v>
      </c>
      <c r="BJ705">
        <f t="shared" si="35"/>
        <v>1</v>
      </c>
    </row>
    <row r="706" spans="1:62">
      <c r="A706" s="1">
        <v>335194214</v>
      </c>
      <c r="B706">
        <v>25</v>
      </c>
      <c r="C706" t="s">
        <v>175</v>
      </c>
      <c r="D706" t="s">
        <v>74</v>
      </c>
      <c r="E706" t="s">
        <v>103</v>
      </c>
      <c r="F706" t="s">
        <v>62</v>
      </c>
      <c r="G706" t="s">
        <v>60</v>
      </c>
      <c r="H706" t="s">
        <v>887</v>
      </c>
      <c r="I706" t="s">
        <v>115</v>
      </c>
      <c r="J706" s="2">
        <v>307.61</v>
      </c>
      <c r="K706">
        <v>6</v>
      </c>
      <c r="L706" t="s">
        <v>65</v>
      </c>
      <c r="M706">
        <v>1</v>
      </c>
      <c r="N706">
        <v>1</v>
      </c>
      <c r="O706">
        <v>0</v>
      </c>
      <c r="P706" t="s">
        <v>84</v>
      </c>
      <c r="Q706" t="s">
        <v>67</v>
      </c>
      <c r="R706">
        <v>0</v>
      </c>
      <c r="S706">
        <v>9</v>
      </c>
      <c r="T706" t="s">
        <v>79</v>
      </c>
      <c r="U706" t="s">
        <v>90</v>
      </c>
      <c r="V706" t="s">
        <v>81</v>
      </c>
      <c r="W706" s="3">
        <v>45547</v>
      </c>
      <c r="X706" t="b">
        <v>1</v>
      </c>
      <c r="Y706" t="b">
        <v>1</v>
      </c>
      <c r="Z706" t="s">
        <v>70</v>
      </c>
      <c r="AA706" t="s">
        <v>71</v>
      </c>
      <c r="AB706">
        <v>10</v>
      </c>
      <c r="AO706" t="str">
        <f t="shared" si="36"/>
        <v>18-25</v>
      </c>
      <c r="BD706">
        <v>6</v>
      </c>
      <c r="BF706" cm="1">
        <f t="array" ref="BF706">CORREL(J706:J1706,S706:S1706)</f>
        <v>-0.0297694874483151</v>
      </c>
      <c r="BH706">
        <v>9</v>
      </c>
      <c r="BI706">
        <f t="shared" si="34"/>
        <v>0.666666666666667</v>
      </c>
      <c r="BJ706">
        <f t="shared" si="35"/>
        <v>13.5</v>
      </c>
    </row>
    <row r="707" spans="1:62">
      <c r="A707" s="4" t="s">
        <v>888</v>
      </c>
      <c r="B707">
        <v>41</v>
      </c>
      <c r="C707" t="s">
        <v>59</v>
      </c>
      <c r="D707" t="s">
        <v>74</v>
      </c>
      <c r="E707" t="s">
        <v>103</v>
      </c>
      <c r="F707" t="s">
        <v>62</v>
      </c>
      <c r="G707" t="s">
        <v>60</v>
      </c>
      <c r="H707" t="s">
        <v>889</v>
      </c>
      <c r="I707" t="s">
        <v>133</v>
      </c>
      <c r="J707" s="2">
        <v>152.33</v>
      </c>
      <c r="K707">
        <v>2</v>
      </c>
      <c r="L707" t="s">
        <v>78</v>
      </c>
      <c r="M707">
        <v>1</v>
      </c>
      <c r="N707">
        <v>5</v>
      </c>
      <c r="O707">
        <v>1</v>
      </c>
      <c r="P707" t="s">
        <v>66</v>
      </c>
      <c r="Q707" t="s">
        <v>80</v>
      </c>
      <c r="R707">
        <v>1</v>
      </c>
      <c r="S707">
        <v>6</v>
      </c>
      <c r="T707" t="s">
        <v>74</v>
      </c>
      <c r="U707" t="s">
        <v>90</v>
      </c>
      <c r="V707" t="s">
        <v>91</v>
      </c>
      <c r="W707" s="3">
        <v>45310</v>
      </c>
      <c r="X707" t="b">
        <v>0</v>
      </c>
      <c r="Y707" t="b">
        <v>1</v>
      </c>
      <c r="Z707" t="s">
        <v>92</v>
      </c>
      <c r="AA707" t="s">
        <v>71</v>
      </c>
      <c r="AB707">
        <v>8</v>
      </c>
      <c r="AO707" t="str">
        <f t="shared" si="36"/>
        <v>41-60</v>
      </c>
      <c r="BD707">
        <v>2</v>
      </c>
      <c r="BF707" cm="1">
        <f t="array" ref="BF707">CORREL(J707:J1707,S707:S1707)</f>
        <v>-0.0308233185225902</v>
      </c>
      <c r="BH707">
        <v>6</v>
      </c>
      <c r="BI707">
        <f t="shared" ref="BI707:BI770" si="37">K707/S707</f>
        <v>0.333333333333333</v>
      </c>
      <c r="BJ707">
        <f t="shared" ref="BJ707:BJ770" si="38">BH707/BI707</f>
        <v>18</v>
      </c>
    </row>
    <row r="708" spans="1:62">
      <c r="A708" s="1">
        <v>307358744</v>
      </c>
      <c r="B708">
        <v>24</v>
      </c>
      <c r="C708" t="s">
        <v>59</v>
      </c>
      <c r="D708" t="s">
        <v>60</v>
      </c>
      <c r="E708" t="s">
        <v>103</v>
      </c>
      <c r="F708" t="s">
        <v>62</v>
      </c>
      <c r="G708" t="s">
        <v>74</v>
      </c>
      <c r="H708" t="s">
        <v>890</v>
      </c>
      <c r="I708" t="s">
        <v>115</v>
      </c>
      <c r="J708" s="2">
        <v>465.07</v>
      </c>
      <c r="K708">
        <v>8</v>
      </c>
      <c r="L708" t="s">
        <v>85</v>
      </c>
      <c r="M708">
        <v>2</v>
      </c>
      <c r="N708">
        <v>4</v>
      </c>
      <c r="O708">
        <v>0</v>
      </c>
      <c r="P708" t="s">
        <v>79</v>
      </c>
      <c r="Q708" t="s">
        <v>80</v>
      </c>
      <c r="R708">
        <v>1</v>
      </c>
      <c r="S708">
        <v>2</v>
      </c>
      <c r="T708" t="s">
        <v>74</v>
      </c>
      <c r="U708" t="s">
        <v>105</v>
      </c>
      <c r="V708" t="s">
        <v>110</v>
      </c>
      <c r="W708" s="3">
        <v>45353</v>
      </c>
      <c r="X708" t="b">
        <v>0</v>
      </c>
      <c r="Y708" t="b">
        <v>0</v>
      </c>
      <c r="Z708" t="s">
        <v>82</v>
      </c>
      <c r="AA708" t="s">
        <v>71</v>
      </c>
      <c r="AB708">
        <v>8</v>
      </c>
      <c r="AO708" t="str">
        <f t="shared" si="36"/>
        <v>18-25</v>
      </c>
      <c r="BD708">
        <v>8</v>
      </c>
      <c r="BF708" cm="1">
        <f t="array" ref="BF708">CORREL(J708:J1708,S708:S1708)</f>
        <v>-0.0301510044088002</v>
      </c>
      <c r="BH708">
        <v>2</v>
      </c>
      <c r="BI708">
        <f t="shared" si="37"/>
        <v>4</v>
      </c>
      <c r="BJ708">
        <f t="shared" si="38"/>
        <v>0.5</v>
      </c>
    </row>
    <row r="709" spans="1:62">
      <c r="A709" s="1">
        <v>138485757</v>
      </c>
      <c r="B709">
        <v>32</v>
      </c>
      <c r="C709" t="s">
        <v>59</v>
      </c>
      <c r="D709" t="s">
        <v>74</v>
      </c>
      <c r="E709" t="s">
        <v>86</v>
      </c>
      <c r="F709" t="s">
        <v>87</v>
      </c>
      <c r="G709" t="s">
        <v>60</v>
      </c>
      <c r="H709" t="s">
        <v>891</v>
      </c>
      <c r="I709" t="s">
        <v>113</v>
      </c>
      <c r="J709" s="2">
        <v>498.23</v>
      </c>
      <c r="K709">
        <v>10</v>
      </c>
      <c r="L709" t="s">
        <v>85</v>
      </c>
      <c r="M709">
        <v>5</v>
      </c>
      <c r="N709">
        <v>2</v>
      </c>
      <c r="O709">
        <v>0</v>
      </c>
      <c r="P709" t="s">
        <v>66</v>
      </c>
      <c r="Q709" t="s">
        <v>109</v>
      </c>
      <c r="R709">
        <v>0</v>
      </c>
      <c r="S709">
        <v>7</v>
      </c>
      <c r="T709" t="s">
        <v>79</v>
      </c>
      <c r="U709" t="s">
        <v>90</v>
      </c>
      <c r="V709" t="s">
        <v>96</v>
      </c>
      <c r="W709" s="3">
        <v>45299</v>
      </c>
      <c r="X709" t="b">
        <v>1</v>
      </c>
      <c r="Y709" t="b">
        <v>0</v>
      </c>
      <c r="Z709" t="s">
        <v>102</v>
      </c>
      <c r="AA709" t="s">
        <v>71</v>
      </c>
      <c r="AB709">
        <v>9</v>
      </c>
      <c r="AO709" t="str">
        <f t="shared" si="36"/>
        <v>26-40</v>
      </c>
      <c r="BD709">
        <v>10</v>
      </c>
      <c r="BF709" cm="1">
        <f t="array" ref="BF709">CORREL(J709:J1709,S709:S1709)</f>
        <v>-0.0244914702320026</v>
      </c>
      <c r="BH709">
        <v>7</v>
      </c>
      <c r="BI709">
        <f t="shared" si="37"/>
        <v>1.42857142857143</v>
      </c>
      <c r="BJ709">
        <f t="shared" si="38"/>
        <v>4.9</v>
      </c>
    </row>
    <row r="710" spans="1:62">
      <c r="A710" s="1">
        <v>213002001</v>
      </c>
      <c r="B710">
        <v>41</v>
      </c>
      <c r="C710" t="s">
        <v>59</v>
      </c>
      <c r="D710" t="s">
        <v>60</v>
      </c>
      <c r="E710" t="s">
        <v>98</v>
      </c>
      <c r="F710" t="s">
        <v>75</v>
      </c>
      <c r="G710" t="s">
        <v>60</v>
      </c>
      <c r="H710" t="s">
        <v>892</v>
      </c>
      <c r="I710" t="s">
        <v>118</v>
      </c>
      <c r="J710" s="2">
        <v>491.18</v>
      </c>
      <c r="K710">
        <v>3</v>
      </c>
      <c r="L710" t="s">
        <v>65</v>
      </c>
      <c r="M710">
        <v>4</v>
      </c>
      <c r="N710">
        <v>4</v>
      </c>
      <c r="O710">
        <v>1</v>
      </c>
      <c r="P710" t="s">
        <v>74</v>
      </c>
      <c r="Q710" t="s">
        <v>109</v>
      </c>
      <c r="R710">
        <v>0</v>
      </c>
      <c r="S710">
        <v>6</v>
      </c>
      <c r="T710" t="s">
        <v>66</v>
      </c>
      <c r="U710" t="s">
        <v>90</v>
      </c>
      <c r="V710" t="s">
        <v>110</v>
      </c>
      <c r="W710" s="3">
        <v>45531</v>
      </c>
      <c r="X710" t="b">
        <v>0</v>
      </c>
      <c r="Y710" t="b">
        <v>0</v>
      </c>
      <c r="Z710" t="s">
        <v>92</v>
      </c>
      <c r="AA710" t="s">
        <v>71</v>
      </c>
      <c r="AB710">
        <v>14</v>
      </c>
      <c r="AO710" t="str">
        <f t="shared" si="36"/>
        <v>41-60</v>
      </c>
      <c r="BD710">
        <v>3</v>
      </c>
      <c r="BF710" cm="1">
        <f t="array" ref="BF710">CORREL(J710:J1710,S710:S1710)</f>
        <v>-0.0279280769583999</v>
      </c>
      <c r="BH710">
        <v>6</v>
      </c>
      <c r="BI710">
        <f t="shared" si="37"/>
        <v>0.5</v>
      </c>
      <c r="BJ710">
        <f t="shared" si="38"/>
        <v>12</v>
      </c>
    </row>
    <row r="711" spans="1:62">
      <c r="A711" s="1">
        <v>385871781</v>
      </c>
      <c r="B711">
        <v>18</v>
      </c>
      <c r="C711" t="s">
        <v>73</v>
      </c>
      <c r="D711" t="s">
        <v>60</v>
      </c>
      <c r="E711" t="s">
        <v>103</v>
      </c>
      <c r="F711" t="s">
        <v>62</v>
      </c>
      <c r="G711" t="s">
        <v>60</v>
      </c>
      <c r="H711" t="s">
        <v>893</v>
      </c>
      <c r="I711" t="s">
        <v>122</v>
      </c>
      <c r="J711" s="2">
        <v>149.42</v>
      </c>
      <c r="K711">
        <v>3</v>
      </c>
      <c r="L711" t="s">
        <v>65</v>
      </c>
      <c r="M711">
        <v>1</v>
      </c>
      <c r="N711">
        <v>1</v>
      </c>
      <c r="O711">
        <v>2</v>
      </c>
      <c r="P711" t="s">
        <v>79</v>
      </c>
      <c r="Q711" t="s">
        <v>109</v>
      </c>
      <c r="R711">
        <v>0</v>
      </c>
      <c r="S711">
        <v>6</v>
      </c>
      <c r="T711" t="s">
        <v>66</v>
      </c>
      <c r="U711" t="s">
        <v>105</v>
      </c>
      <c r="V711" t="s">
        <v>110</v>
      </c>
      <c r="W711" s="3">
        <v>45294</v>
      </c>
      <c r="X711" t="b">
        <v>1</v>
      </c>
      <c r="Y711" t="b">
        <v>0</v>
      </c>
      <c r="Z711" t="s">
        <v>82</v>
      </c>
      <c r="AA711" t="s">
        <v>97</v>
      </c>
      <c r="AB711">
        <v>5</v>
      </c>
      <c r="AO711" t="str">
        <f t="shared" si="36"/>
        <v>18-25</v>
      </c>
      <c r="BD711">
        <v>3</v>
      </c>
      <c r="BF711" cm="1">
        <f t="array" ref="BF711">CORREL(J711:J1711,S711:S1711)</f>
        <v>-0.0292906892014218</v>
      </c>
      <c r="BH711">
        <v>6</v>
      </c>
      <c r="BI711">
        <f t="shared" si="37"/>
        <v>0.5</v>
      </c>
      <c r="BJ711">
        <f t="shared" si="38"/>
        <v>12</v>
      </c>
    </row>
    <row r="712" spans="1:62">
      <c r="A712" s="1">
        <v>665571474</v>
      </c>
      <c r="B712">
        <v>25</v>
      </c>
      <c r="C712" t="s">
        <v>73</v>
      </c>
      <c r="D712" t="s">
        <v>60</v>
      </c>
      <c r="E712" t="s">
        <v>86</v>
      </c>
      <c r="F712" t="s">
        <v>87</v>
      </c>
      <c r="G712" t="s">
        <v>60</v>
      </c>
      <c r="H712" t="s">
        <v>894</v>
      </c>
      <c r="I712" t="s">
        <v>100</v>
      </c>
      <c r="J712" s="2">
        <v>82.13</v>
      </c>
      <c r="K712">
        <v>9</v>
      </c>
      <c r="L712" t="s">
        <v>85</v>
      </c>
      <c r="M712">
        <v>5</v>
      </c>
      <c r="N712">
        <v>1</v>
      </c>
      <c r="O712">
        <v>0</v>
      </c>
      <c r="P712" t="s">
        <v>79</v>
      </c>
      <c r="Q712" t="s">
        <v>67</v>
      </c>
      <c r="R712">
        <v>2</v>
      </c>
      <c r="S712">
        <v>6</v>
      </c>
      <c r="T712" t="s">
        <v>74</v>
      </c>
      <c r="U712" t="s">
        <v>68</v>
      </c>
      <c r="V712" t="s">
        <v>91</v>
      </c>
      <c r="W712" s="3">
        <v>45391</v>
      </c>
      <c r="X712" t="b">
        <v>1</v>
      </c>
      <c r="Y712" t="b">
        <v>1</v>
      </c>
      <c r="Z712" t="s">
        <v>70</v>
      </c>
      <c r="AA712" t="s">
        <v>97</v>
      </c>
      <c r="AB712">
        <v>6</v>
      </c>
      <c r="AO712" t="str">
        <f t="shared" si="36"/>
        <v>18-25</v>
      </c>
      <c r="BD712">
        <v>9</v>
      </c>
      <c r="BF712" cm="1">
        <f t="array" ref="BF712">CORREL(J712:J1712,S712:S1712)</f>
        <v>-0.0286004128566168</v>
      </c>
      <c r="BH712">
        <v>6</v>
      </c>
      <c r="BI712">
        <f t="shared" si="37"/>
        <v>1.5</v>
      </c>
      <c r="BJ712">
        <f t="shared" si="38"/>
        <v>4</v>
      </c>
    </row>
    <row r="713" spans="1:62">
      <c r="A713" s="4" t="s">
        <v>895</v>
      </c>
      <c r="B713">
        <v>49</v>
      </c>
      <c r="C713" t="s">
        <v>73</v>
      </c>
      <c r="D713" t="s">
        <v>60</v>
      </c>
      <c r="E713" t="s">
        <v>103</v>
      </c>
      <c r="F713" t="s">
        <v>62</v>
      </c>
      <c r="G713" t="s">
        <v>74</v>
      </c>
      <c r="H713" t="s">
        <v>896</v>
      </c>
      <c r="I713" t="s">
        <v>113</v>
      </c>
      <c r="J713" s="2">
        <v>425.18</v>
      </c>
      <c r="K713">
        <v>4</v>
      </c>
      <c r="L713" t="s">
        <v>65</v>
      </c>
      <c r="M713">
        <v>2</v>
      </c>
      <c r="N713">
        <v>1</v>
      </c>
      <c r="O713">
        <v>0</v>
      </c>
      <c r="P713" t="s">
        <v>79</v>
      </c>
      <c r="Q713" t="s">
        <v>109</v>
      </c>
      <c r="R713">
        <v>1</v>
      </c>
      <c r="S713">
        <v>8</v>
      </c>
      <c r="T713" t="s">
        <v>79</v>
      </c>
      <c r="U713" t="s">
        <v>68</v>
      </c>
      <c r="V713" t="s">
        <v>81</v>
      </c>
      <c r="W713" s="3">
        <v>45370</v>
      </c>
      <c r="X713" t="b">
        <v>1</v>
      </c>
      <c r="Y713" t="b">
        <v>0</v>
      </c>
      <c r="Z713" t="s">
        <v>82</v>
      </c>
      <c r="AA713" t="s">
        <v>83</v>
      </c>
      <c r="AB713">
        <v>10</v>
      </c>
      <c r="AO713" t="str">
        <f t="shared" si="36"/>
        <v>41-60</v>
      </c>
      <c r="BD713">
        <v>4</v>
      </c>
      <c r="BF713" cm="1">
        <f t="array" ref="BF713">CORREL(J713:J1713,S713:S1713)</f>
        <v>-0.0275696629238718</v>
      </c>
      <c r="BH713">
        <v>8</v>
      </c>
      <c r="BI713">
        <f t="shared" si="37"/>
        <v>0.5</v>
      </c>
      <c r="BJ713">
        <f t="shared" si="38"/>
        <v>16</v>
      </c>
    </row>
    <row r="714" spans="1:62">
      <c r="A714" s="1">
        <v>397318532</v>
      </c>
      <c r="B714">
        <v>39</v>
      </c>
      <c r="C714" t="s">
        <v>73</v>
      </c>
      <c r="D714" t="s">
        <v>74</v>
      </c>
      <c r="E714" t="s">
        <v>61</v>
      </c>
      <c r="F714" t="s">
        <v>87</v>
      </c>
      <c r="G714" t="s">
        <v>60</v>
      </c>
      <c r="H714" t="s">
        <v>897</v>
      </c>
      <c r="I714" t="s">
        <v>143</v>
      </c>
      <c r="J714" s="2">
        <v>176.12</v>
      </c>
      <c r="K714">
        <v>8</v>
      </c>
      <c r="L714" t="s">
        <v>85</v>
      </c>
      <c r="M714">
        <v>2</v>
      </c>
      <c r="N714">
        <v>3</v>
      </c>
      <c r="O714">
        <v>1.2</v>
      </c>
      <c r="P714" t="s">
        <v>79</v>
      </c>
      <c r="Q714" t="s">
        <v>67</v>
      </c>
      <c r="R714">
        <v>1</v>
      </c>
      <c r="S714">
        <v>10</v>
      </c>
      <c r="T714" t="s">
        <v>84</v>
      </c>
      <c r="U714" t="s">
        <v>105</v>
      </c>
      <c r="V714" t="s">
        <v>69</v>
      </c>
      <c r="W714" s="3">
        <v>45458</v>
      </c>
      <c r="X714" t="b">
        <v>1</v>
      </c>
      <c r="Y714" t="b">
        <v>1</v>
      </c>
      <c r="Z714" t="s">
        <v>92</v>
      </c>
      <c r="AA714" t="s">
        <v>83</v>
      </c>
      <c r="AB714">
        <v>14</v>
      </c>
      <c r="AO714" t="str">
        <f t="shared" si="36"/>
        <v>26-40</v>
      </c>
      <c r="BD714">
        <v>8</v>
      </c>
      <c r="BF714" cm="1">
        <f t="array" ref="BF714">CORREL(J714:J1714,S714:S1714)</f>
        <v>-0.0313275778081452</v>
      </c>
      <c r="BH714">
        <v>10</v>
      </c>
      <c r="BI714">
        <f t="shared" si="37"/>
        <v>0.8</v>
      </c>
      <c r="BJ714">
        <f t="shared" si="38"/>
        <v>12.5</v>
      </c>
    </row>
    <row r="715" spans="1:62">
      <c r="A715" s="1">
        <v>808303184</v>
      </c>
      <c r="B715">
        <v>47</v>
      </c>
      <c r="C715" t="s">
        <v>59</v>
      </c>
      <c r="D715" t="s">
        <v>74</v>
      </c>
      <c r="E715" t="s">
        <v>86</v>
      </c>
      <c r="F715" t="s">
        <v>75</v>
      </c>
      <c r="G715" t="s">
        <v>60</v>
      </c>
      <c r="H715" t="s">
        <v>898</v>
      </c>
      <c r="I715" t="s">
        <v>209</v>
      </c>
      <c r="J715" s="2">
        <v>70.3</v>
      </c>
      <c r="K715">
        <v>6</v>
      </c>
      <c r="L715" t="s">
        <v>85</v>
      </c>
      <c r="M715">
        <v>3</v>
      </c>
      <c r="N715">
        <v>5</v>
      </c>
      <c r="O715">
        <v>0</v>
      </c>
      <c r="P715" t="s">
        <v>66</v>
      </c>
      <c r="Q715" t="s">
        <v>109</v>
      </c>
      <c r="R715">
        <v>1</v>
      </c>
      <c r="S715">
        <v>8</v>
      </c>
      <c r="T715" t="s">
        <v>79</v>
      </c>
      <c r="U715" t="s">
        <v>105</v>
      </c>
      <c r="V715" t="s">
        <v>110</v>
      </c>
      <c r="W715" s="3">
        <v>45354</v>
      </c>
      <c r="X715" t="b">
        <v>1</v>
      </c>
      <c r="Y715" t="b">
        <v>1</v>
      </c>
      <c r="Z715" t="s">
        <v>70</v>
      </c>
      <c r="AA715" t="s">
        <v>83</v>
      </c>
      <c r="AB715">
        <v>3</v>
      </c>
      <c r="AO715" t="str">
        <f t="shared" si="36"/>
        <v>41-60</v>
      </c>
      <c r="BD715">
        <v>6</v>
      </c>
      <c r="BF715" cm="1">
        <f t="array" ref="BF715">CORREL(J715:J1715,S715:S1715)</f>
        <v>-0.0270477001241386</v>
      </c>
      <c r="BH715">
        <v>8</v>
      </c>
      <c r="BI715">
        <f t="shared" si="37"/>
        <v>0.75</v>
      </c>
      <c r="BJ715">
        <f t="shared" si="38"/>
        <v>10.6666666666667</v>
      </c>
    </row>
    <row r="716" spans="1:62">
      <c r="A716" s="1">
        <v>975058416</v>
      </c>
      <c r="B716">
        <v>43</v>
      </c>
      <c r="C716" t="s">
        <v>73</v>
      </c>
      <c r="D716" t="s">
        <v>60</v>
      </c>
      <c r="E716" t="s">
        <v>61</v>
      </c>
      <c r="F716" t="s">
        <v>62</v>
      </c>
      <c r="G716" t="s">
        <v>60</v>
      </c>
      <c r="H716" t="s">
        <v>899</v>
      </c>
      <c r="I716" t="s">
        <v>118</v>
      </c>
      <c r="J716" s="2">
        <v>319.39</v>
      </c>
      <c r="K716">
        <v>7</v>
      </c>
      <c r="L716" t="s">
        <v>65</v>
      </c>
      <c r="M716">
        <v>4</v>
      </c>
      <c r="N716">
        <v>5</v>
      </c>
      <c r="O716">
        <v>0</v>
      </c>
      <c r="P716" t="s">
        <v>66</v>
      </c>
      <c r="Q716" t="s">
        <v>109</v>
      </c>
      <c r="R716">
        <v>1</v>
      </c>
      <c r="S716">
        <v>10</v>
      </c>
      <c r="T716" t="s">
        <v>74</v>
      </c>
      <c r="U716" t="s">
        <v>105</v>
      </c>
      <c r="V716" t="s">
        <v>69</v>
      </c>
      <c r="W716" s="3">
        <v>45613</v>
      </c>
      <c r="X716" t="b">
        <v>0</v>
      </c>
      <c r="Y716" t="b">
        <v>1</v>
      </c>
      <c r="Z716" t="s">
        <v>102</v>
      </c>
      <c r="AA716" t="s">
        <v>83</v>
      </c>
      <c r="AB716">
        <v>3</v>
      </c>
      <c r="AO716" t="str">
        <f t="shared" si="36"/>
        <v>41-60</v>
      </c>
      <c r="BD716">
        <v>7</v>
      </c>
      <c r="BF716" cm="1">
        <f t="array" ref="BF716">CORREL(J716:J1716,S716:S1716)</f>
        <v>-0.0219493262940499</v>
      </c>
      <c r="BH716">
        <v>10</v>
      </c>
      <c r="BI716">
        <f t="shared" si="37"/>
        <v>0.7</v>
      </c>
      <c r="BJ716">
        <f t="shared" si="38"/>
        <v>14.2857142857143</v>
      </c>
    </row>
    <row r="717" spans="1:62">
      <c r="A717" s="1">
        <v>985854742</v>
      </c>
      <c r="B717">
        <v>38</v>
      </c>
      <c r="C717" t="s">
        <v>59</v>
      </c>
      <c r="D717" t="s">
        <v>74</v>
      </c>
      <c r="E717" t="s">
        <v>98</v>
      </c>
      <c r="F717" t="s">
        <v>75</v>
      </c>
      <c r="G717" t="s">
        <v>74</v>
      </c>
      <c r="H717" t="s">
        <v>900</v>
      </c>
      <c r="I717" t="s">
        <v>95</v>
      </c>
      <c r="J717" s="2">
        <v>113.51</v>
      </c>
      <c r="K717">
        <v>11</v>
      </c>
      <c r="L717" t="s">
        <v>65</v>
      </c>
      <c r="M717">
        <v>4</v>
      </c>
      <c r="N717">
        <v>1</v>
      </c>
      <c r="O717">
        <v>1</v>
      </c>
      <c r="P717" t="s">
        <v>74</v>
      </c>
      <c r="Q717" t="s">
        <v>80</v>
      </c>
      <c r="R717">
        <v>2</v>
      </c>
      <c r="S717">
        <v>2</v>
      </c>
      <c r="T717" t="s">
        <v>84</v>
      </c>
      <c r="U717" t="s">
        <v>105</v>
      </c>
      <c r="V717" t="s">
        <v>69</v>
      </c>
      <c r="W717" s="3">
        <v>45336</v>
      </c>
      <c r="X717" t="b">
        <v>1</v>
      </c>
      <c r="Y717" t="b">
        <v>1</v>
      </c>
      <c r="Z717" t="s">
        <v>102</v>
      </c>
      <c r="AA717" t="s">
        <v>97</v>
      </c>
      <c r="AB717">
        <v>8</v>
      </c>
      <c r="AO717" t="str">
        <f t="shared" si="36"/>
        <v>26-40</v>
      </c>
      <c r="BD717">
        <v>11</v>
      </c>
      <c r="BF717" cm="1">
        <f t="array" ref="BF717">CORREL(J717:J1717,S717:S1717)</f>
        <v>-0.0238968156570081</v>
      </c>
      <c r="BH717">
        <v>2</v>
      </c>
      <c r="BI717">
        <f t="shared" si="37"/>
        <v>5.5</v>
      </c>
      <c r="BJ717">
        <f t="shared" si="38"/>
        <v>0.363636363636364</v>
      </c>
    </row>
    <row r="718" spans="1:62">
      <c r="A718" s="1">
        <v>513029537</v>
      </c>
      <c r="B718">
        <v>40</v>
      </c>
      <c r="C718" t="s">
        <v>59</v>
      </c>
      <c r="D718" t="s">
        <v>74</v>
      </c>
      <c r="E718" t="s">
        <v>86</v>
      </c>
      <c r="F718" t="s">
        <v>62</v>
      </c>
      <c r="G718" t="s">
        <v>60</v>
      </c>
      <c r="H718" t="s">
        <v>901</v>
      </c>
      <c r="I718" t="s">
        <v>120</v>
      </c>
      <c r="J718" s="2">
        <v>492.74</v>
      </c>
      <c r="K718">
        <v>2</v>
      </c>
      <c r="L718" t="s">
        <v>65</v>
      </c>
      <c r="M718">
        <v>1</v>
      </c>
      <c r="N718">
        <v>5</v>
      </c>
      <c r="O718">
        <v>2</v>
      </c>
      <c r="P718" t="s">
        <v>84</v>
      </c>
      <c r="Q718" t="s">
        <v>109</v>
      </c>
      <c r="R718">
        <v>1</v>
      </c>
      <c r="S718">
        <v>3</v>
      </c>
      <c r="T718" t="s">
        <v>74</v>
      </c>
      <c r="U718" t="s">
        <v>68</v>
      </c>
      <c r="V718" t="s">
        <v>96</v>
      </c>
      <c r="W718" s="3">
        <v>45351</v>
      </c>
      <c r="X718" t="b">
        <v>1</v>
      </c>
      <c r="Y718" t="b">
        <v>0</v>
      </c>
      <c r="Z718" t="s">
        <v>70</v>
      </c>
      <c r="AA718" t="s">
        <v>97</v>
      </c>
      <c r="AB718">
        <v>13</v>
      </c>
      <c r="AO718" t="str">
        <f t="shared" si="36"/>
        <v>26-40</v>
      </c>
      <c r="BD718">
        <v>2</v>
      </c>
      <c r="BF718" cm="1">
        <f t="array" ref="BF718">CORREL(J718:J1718,S718:S1718)</f>
        <v>-0.0293269319748198</v>
      </c>
      <c r="BH718">
        <v>3</v>
      </c>
      <c r="BI718">
        <f t="shared" si="37"/>
        <v>0.666666666666667</v>
      </c>
      <c r="BJ718">
        <f t="shared" si="38"/>
        <v>4.5</v>
      </c>
    </row>
    <row r="719" spans="1:62">
      <c r="A719" s="1">
        <v>883132633</v>
      </c>
      <c r="B719">
        <v>33</v>
      </c>
      <c r="C719" t="s">
        <v>73</v>
      </c>
      <c r="D719" t="s">
        <v>60</v>
      </c>
      <c r="E719" t="s">
        <v>103</v>
      </c>
      <c r="F719" t="s">
        <v>87</v>
      </c>
      <c r="G719" t="s">
        <v>60</v>
      </c>
      <c r="H719" t="s">
        <v>902</v>
      </c>
      <c r="I719" t="s">
        <v>100</v>
      </c>
      <c r="J719" s="2">
        <v>143.8</v>
      </c>
      <c r="K719">
        <v>9</v>
      </c>
      <c r="L719" t="s">
        <v>78</v>
      </c>
      <c r="M719">
        <v>2</v>
      </c>
      <c r="N719">
        <v>2</v>
      </c>
      <c r="O719">
        <v>2</v>
      </c>
      <c r="P719" t="s">
        <v>84</v>
      </c>
      <c r="Q719" t="s">
        <v>67</v>
      </c>
      <c r="R719">
        <v>0</v>
      </c>
      <c r="S719">
        <v>7</v>
      </c>
      <c r="T719" t="s">
        <v>66</v>
      </c>
      <c r="U719" t="s">
        <v>68</v>
      </c>
      <c r="V719" t="s">
        <v>91</v>
      </c>
      <c r="W719" s="3">
        <v>45344</v>
      </c>
      <c r="X719" t="b">
        <v>1</v>
      </c>
      <c r="Y719" t="b">
        <v>0</v>
      </c>
      <c r="Z719" t="s">
        <v>82</v>
      </c>
      <c r="AA719" t="s">
        <v>71</v>
      </c>
      <c r="AB719">
        <v>11</v>
      </c>
      <c r="AO719" t="str">
        <f t="shared" si="36"/>
        <v>26-40</v>
      </c>
      <c r="BD719">
        <v>9</v>
      </c>
      <c r="BF719" cm="1">
        <f t="array" ref="BF719">CORREL(J719:J1719,S719:S1719)</f>
        <v>-0.0246352124171959</v>
      </c>
      <c r="BH719">
        <v>7</v>
      </c>
      <c r="BI719">
        <f t="shared" si="37"/>
        <v>1.28571428571429</v>
      </c>
      <c r="BJ719">
        <f t="shared" si="38"/>
        <v>5.44444444444444</v>
      </c>
    </row>
    <row r="720" spans="1:62">
      <c r="A720" s="1">
        <v>612860069</v>
      </c>
      <c r="B720">
        <v>18</v>
      </c>
      <c r="C720" t="s">
        <v>224</v>
      </c>
      <c r="D720" t="s">
        <v>60</v>
      </c>
      <c r="E720" t="s">
        <v>98</v>
      </c>
      <c r="F720" t="s">
        <v>62</v>
      </c>
      <c r="G720" t="s">
        <v>60</v>
      </c>
      <c r="H720" t="s">
        <v>903</v>
      </c>
      <c r="I720" t="s">
        <v>143</v>
      </c>
      <c r="J720" s="2">
        <v>158.54</v>
      </c>
      <c r="K720">
        <v>5</v>
      </c>
      <c r="L720" t="s">
        <v>85</v>
      </c>
      <c r="M720">
        <v>2</v>
      </c>
      <c r="N720">
        <v>1</v>
      </c>
      <c r="O720">
        <v>1</v>
      </c>
      <c r="P720" t="s">
        <v>84</v>
      </c>
      <c r="Q720" t="s">
        <v>80</v>
      </c>
      <c r="R720">
        <v>2</v>
      </c>
      <c r="S720">
        <v>7</v>
      </c>
      <c r="T720" t="s">
        <v>74</v>
      </c>
      <c r="U720" t="s">
        <v>90</v>
      </c>
      <c r="V720" t="s">
        <v>91</v>
      </c>
      <c r="W720" s="3">
        <v>45382</v>
      </c>
      <c r="X720" t="b">
        <v>0</v>
      </c>
      <c r="Y720" t="b">
        <v>0</v>
      </c>
      <c r="Z720" t="s">
        <v>102</v>
      </c>
      <c r="AA720" t="s">
        <v>97</v>
      </c>
      <c r="AB720">
        <v>5</v>
      </c>
      <c r="AO720" t="str">
        <f t="shared" si="36"/>
        <v>18-25</v>
      </c>
      <c r="BD720">
        <v>5</v>
      </c>
      <c r="BF720" cm="1">
        <f t="array" ref="BF720">CORREL(J720:J1720,S720:S1720)</f>
        <v>-0.0225291886612145</v>
      </c>
      <c r="BH720">
        <v>7</v>
      </c>
      <c r="BI720">
        <f t="shared" si="37"/>
        <v>0.714285714285714</v>
      </c>
      <c r="BJ720">
        <f t="shared" si="38"/>
        <v>9.8</v>
      </c>
    </row>
    <row r="721" spans="1:62">
      <c r="A721" s="1">
        <v>359070586</v>
      </c>
      <c r="B721">
        <v>39</v>
      </c>
      <c r="C721" t="s">
        <v>59</v>
      </c>
      <c r="D721" t="s">
        <v>74</v>
      </c>
      <c r="E721" t="s">
        <v>61</v>
      </c>
      <c r="F721" t="s">
        <v>62</v>
      </c>
      <c r="G721" t="s">
        <v>74</v>
      </c>
      <c r="H721" t="s">
        <v>904</v>
      </c>
      <c r="I721" t="s">
        <v>100</v>
      </c>
      <c r="J721" s="2">
        <v>213.39</v>
      </c>
      <c r="K721">
        <v>6</v>
      </c>
      <c r="L721" t="s">
        <v>85</v>
      </c>
      <c r="M721">
        <v>3</v>
      </c>
      <c r="N721">
        <v>4</v>
      </c>
      <c r="O721">
        <v>2</v>
      </c>
      <c r="P721" t="s">
        <v>79</v>
      </c>
      <c r="Q721" t="s">
        <v>80</v>
      </c>
      <c r="R721">
        <v>2</v>
      </c>
      <c r="S721">
        <v>5</v>
      </c>
      <c r="T721" t="s">
        <v>79</v>
      </c>
      <c r="U721" t="s">
        <v>105</v>
      </c>
      <c r="V721" t="s">
        <v>110</v>
      </c>
      <c r="W721" s="3">
        <v>45592</v>
      </c>
      <c r="X721" t="b">
        <v>0</v>
      </c>
      <c r="Y721" t="b">
        <v>1</v>
      </c>
      <c r="Z721" t="s">
        <v>102</v>
      </c>
      <c r="AA721" t="s">
        <v>83</v>
      </c>
      <c r="AB721">
        <v>4</v>
      </c>
      <c r="AO721" t="str">
        <f t="shared" si="36"/>
        <v>26-40</v>
      </c>
      <c r="BD721">
        <v>6</v>
      </c>
      <c r="BF721" cm="1">
        <f t="array" ref="BF721">CORREL(J721:J1721,S721:S1721)</f>
        <v>-0.0206288365114193</v>
      </c>
      <c r="BH721">
        <v>5</v>
      </c>
      <c r="BI721">
        <f t="shared" si="37"/>
        <v>1.2</v>
      </c>
      <c r="BJ721">
        <f t="shared" si="38"/>
        <v>4.16666666666667</v>
      </c>
    </row>
    <row r="722" spans="1:62">
      <c r="A722" s="1">
        <v>305221574</v>
      </c>
      <c r="B722">
        <v>31</v>
      </c>
      <c r="C722" t="s">
        <v>73</v>
      </c>
      <c r="D722" t="s">
        <v>60</v>
      </c>
      <c r="E722" t="s">
        <v>103</v>
      </c>
      <c r="F722" t="s">
        <v>62</v>
      </c>
      <c r="G722" t="s">
        <v>74</v>
      </c>
      <c r="H722" t="s">
        <v>905</v>
      </c>
      <c r="I722" t="s">
        <v>147</v>
      </c>
      <c r="J722" s="2">
        <v>127.18</v>
      </c>
      <c r="K722">
        <v>2</v>
      </c>
      <c r="L722" t="s">
        <v>78</v>
      </c>
      <c r="M722">
        <v>5</v>
      </c>
      <c r="N722">
        <v>5</v>
      </c>
      <c r="O722">
        <v>1</v>
      </c>
      <c r="P722" t="s">
        <v>79</v>
      </c>
      <c r="Q722" t="s">
        <v>67</v>
      </c>
      <c r="R722">
        <v>0</v>
      </c>
      <c r="S722">
        <v>2</v>
      </c>
      <c r="T722" t="s">
        <v>79</v>
      </c>
      <c r="U722" t="s">
        <v>105</v>
      </c>
      <c r="V722" t="s">
        <v>91</v>
      </c>
      <c r="W722" s="3">
        <v>45647</v>
      </c>
      <c r="X722" t="b">
        <v>0</v>
      </c>
      <c r="Y722" t="b">
        <v>0</v>
      </c>
      <c r="Z722" t="s">
        <v>102</v>
      </c>
      <c r="AA722" t="s">
        <v>83</v>
      </c>
      <c r="AB722">
        <v>4</v>
      </c>
      <c r="AO722" t="str">
        <f t="shared" si="36"/>
        <v>26-40</v>
      </c>
      <c r="BD722">
        <v>2</v>
      </c>
      <c r="BF722" cm="1">
        <f t="array" ref="BF722">CORREL(J722:J1722,S722:S1722)</f>
        <v>-0.0208533736696407</v>
      </c>
      <c r="BH722">
        <v>2</v>
      </c>
      <c r="BI722">
        <f t="shared" si="37"/>
        <v>1</v>
      </c>
      <c r="BJ722">
        <f t="shared" si="38"/>
        <v>2</v>
      </c>
    </row>
    <row r="723" spans="1:62">
      <c r="A723" s="1">
        <v>437158777</v>
      </c>
      <c r="B723">
        <v>27</v>
      </c>
      <c r="C723" t="s">
        <v>73</v>
      </c>
      <c r="D723" t="s">
        <v>60</v>
      </c>
      <c r="E723" t="s">
        <v>103</v>
      </c>
      <c r="F723" t="s">
        <v>87</v>
      </c>
      <c r="G723" t="s">
        <v>74</v>
      </c>
      <c r="H723" t="s">
        <v>906</v>
      </c>
      <c r="I723" t="s">
        <v>118</v>
      </c>
      <c r="J723" s="2">
        <v>476.63</v>
      </c>
      <c r="K723">
        <v>9</v>
      </c>
      <c r="L723" t="s">
        <v>78</v>
      </c>
      <c r="M723">
        <v>3</v>
      </c>
      <c r="N723">
        <v>5</v>
      </c>
      <c r="O723">
        <v>2</v>
      </c>
      <c r="P723" t="s">
        <v>79</v>
      </c>
      <c r="Q723" t="s">
        <v>80</v>
      </c>
      <c r="R723">
        <v>2</v>
      </c>
      <c r="S723">
        <v>2</v>
      </c>
      <c r="T723" t="s">
        <v>66</v>
      </c>
      <c r="U723" t="s">
        <v>105</v>
      </c>
      <c r="V723" t="s">
        <v>91</v>
      </c>
      <c r="W723" s="3">
        <v>45615</v>
      </c>
      <c r="X723" t="b">
        <v>1</v>
      </c>
      <c r="Y723" t="b">
        <v>0</v>
      </c>
      <c r="Z723" t="s">
        <v>92</v>
      </c>
      <c r="AA723" t="s">
        <v>71</v>
      </c>
      <c r="AB723">
        <v>1</v>
      </c>
      <c r="AO723" t="str">
        <f t="shared" si="36"/>
        <v>26-40</v>
      </c>
      <c r="BD723">
        <v>9</v>
      </c>
      <c r="BF723" cm="1">
        <f t="array" ref="BF723">CORREL(J723:J1723,S723:S1723)</f>
        <v>-0.025945071979549</v>
      </c>
      <c r="BH723">
        <v>2</v>
      </c>
      <c r="BI723">
        <f t="shared" si="37"/>
        <v>4.5</v>
      </c>
      <c r="BJ723">
        <f t="shared" si="38"/>
        <v>0.444444444444444</v>
      </c>
    </row>
    <row r="724" spans="1:62">
      <c r="A724" s="1">
        <v>946924313</v>
      </c>
      <c r="B724">
        <v>31</v>
      </c>
      <c r="C724" t="s">
        <v>59</v>
      </c>
      <c r="D724" t="s">
        <v>74</v>
      </c>
      <c r="E724" t="s">
        <v>86</v>
      </c>
      <c r="F724" t="s">
        <v>62</v>
      </c>
      <c r="G724" t="s">
        <v>60</v>
      </c>
      <c r="H724" t="s">
        <v>907</v>
      </c>
      <c r="I724" t="s">
        <v>120</v>
      </c>
      <c r="J724" s="2">
        <v>56.02</v>
      </c>
      <c r="K724">
        <v>3</v>
      </c>
      <c r="L724" t="s">
        <v>85</v>
      </c>
      <c r="M724">
        <v>5</v>
      </c>
      <c r="N724">
        <v>3</v>
      </c>
      <c r="O724">
        <v>1</v>
      </c>
      <c r="P724" t="s">
        <v>66</v>
      </c>
      <c r="Q724" t="s">
        <v>109</v>
      </c>
      <c r="R724">
        <v>1</v>
      </c>
      <c r="S724">
        <v>6</v>
      </c>
      <c r="T724" t="s">
        <v>74</v>
      </c>
      <c r="U724" t="s">
        <v>105</v>
      </c>
      <c r="V724" t="s">
        <v>81</v>
      </c>
      <c r="W724" s="3">
        <v>45548</v>
      </c>
      <c r="X724" t="b">
        <v>0</v>
      </c>
      <c r="Y724" t="b">
        <v>1</v>
      </c>
      <c r="Z724" t="s">
        <v>70</v>
      </c>
      <c r="AA724" t="s">
        <v>83</v>
      </c>
      <c r="AB724">
        <v>12</v>
      </c>
      <c r="AO724" t="str">
        <f t="shared" si="36"/>
        <v>26-40</v>
      </c>
      <c r="BD724">
        <v>3</v>
      </c>
      <c r="BF724" cm="1">
        <f t="array" ref="BF724">CORREL(J724:J1724,S724:S1724)</f>
        <v>-0.019597236506242</v>
      </c>
      <c r="BH724">
        <v>6</v>
      </c>
      <c r="BI724">
        <f t="shared" si="37"/>
        <v>0.5</v>
      </c>
      <c r="BJ724">
        <f t="shared" si="38"/>
        <v>12</v>
      </c>
    </row>
    <row r="725" spans="1:62">
      <c r="A725" s="1">
        <v>969154091</v>
      </c>
      <c r="B725">
        <v>36</v>
      </c>
      <c r="C725" t="s">
        <v>59</v>
      </c>
      <c r="D725" t="s">
        <v>74</v>
      </c>
      <c r="E725" t="s">
        <v>98</v>
      </c>
      <c r="F725" t="s">
        <v>62</v>
      </c>
      <c r="G725" t="s">
        <v>60</v>
      </c>
      <c r="H725" t="s">
        <v>908</v>
      </c>
      <c r="I725" t="s">
        <v>131</v>
      </c>
      <c r="J725" s="2">
        <v>398.97</v>
      </c>
      <c r="K725">
        <v>3</v>
      </c>
      <c r="L725" t="s">
        <v>85</v>
      </c>
      <c r="M725">
        <v>2</v>
      </c>
      <c r="N725">
        <v>3</v>
      </c>
      <c r="O725">
        <v>1</v>
      </c>
      <c r="P725" t="s">
        <v>74</v>
      </c>
      <c r="Q725" t="s">
        <v>80</v>
      </c>
      <c r="R725">
        <v>2</v>
      </c>
      <c r="S725">
        <v>3</v>
      </c>
      <c r="T725" t="s">
        <v>74</v>
      </c>
      <c r="U725" t="s">
        <v>68</v>
      </c>
      <c r="V725" t="s">
        <v>91</v>
      </c>
      <c r="W725" s="3">
        <v>45561</v>
      </c>
      <c r="X725" t="b">
        <v>0</v>
      </c>
      <c r="Y725" t="b">
        <v>0</v>
      </c>
      <c r="Z725" t="s">
        <v>92</v>
      </c>
      <c r="AA725" t="s">
        <v>71</v>
      </c>
      <c r="AB725">
        <v>9</v>
      </c>
      <c r="AO725" t="str">
        <f t="shared" si="36"/>
        <v>26-40</v>
      </c>
      <c r="BD725">
        <v>3</v>
      </c>
      <c r="BF725" cm="1">
        <f t="array" ref="BF725">CORREL(J725:J1725,S725:S1725)</f>
        <v>-0.0182808925807537</v>
      </c>
      <c r="BH725">
        <v>3</v>
      </c>
      <c r="BI725">
        <f t="shared" si="37"/>
        <v>1</v>
      </c>
      <c r="BJ725">
        <f t="shared" si="38"/>
        <v>3</v>
      </c>
    </row>
    <row r="726" spans="1:62">
      <c r="A726" s="1">
        <v>670735578</v>
      </c>
      <c r="B726">
        <v>27</v>
      </c>
      <c r="C726" t="s">
        <v>59</v>
      </c>
      <c r="D726" t="s">
        <v>60</v>
      </c>
      <c r="E726" t="s">
        <v>103</v>
      </c>
      <c r="F726" t="s">
        <v>75</v>
      </c>
      <c r="G726" t="s">
        <v>60</v>
      </c>
      <c r="H726" t="s">
        <v>562</v>
      </c>
      <c r="I726" t="s">
        <v>156</v>
      </c>
      <c r="J726" s="2">
        <v>53.45</v>
      </c>
      <c r="K726">
        <v>6</v>
      </c>
      <c r="L726" t="s">
        <v>65</v>
      </c>
      <c r="M726">
        <v>2</v>
      </c>
      <c r="N726">
        <v>3</v>
      </c>
      <c r="O726">
        <v>1</v>
      </c>
      <c r="P726" t="s">
        <v>74</v>
      </c>
      <c r="Q726" t="s">
        <v>67</v>
      </c>
      <c r="R726">
        <v>1</v>
      </c>
      <c r="S726">
        <v>9</v>
      </c>
      <c r="T726" t="s">
        <v>74</v>
      </c>
      <c r="U726" t="s">
        <v>68</v>
      </c>
      <c r="V726" t="s">
        <v>91</v>
      </c>
      <c r="W726" s="3">
        <v>45487</v>
      </c>
      <c r="X726" t="b">
        <v>0</v>
      </c>
      <c r="Y726" t="b">
        <v>0</v>
      </c>
      <c r="Z726" t="s">
        <v>70</v>
      </c>
      <c r="AA726" t="s">
        <v>83</v>
      </c>
      <c r="AB726">
        <v>11</v>
      </c>
      <c r="AO726" t="str">
        <f t="shared" si="36"/>
        <v>26-40</v>
      </c>
      <c r="BD726">
        <v>6</v>
      </c>
      <c r="BF726" cm="1">
        <f t="array" ref="BF726">CORREL(J726:J1726,S726:S1726)</f>
        <v>-0.0155315462423222</v>
      </c>
      <c r="BH726">
        <v>9</v>
      </c>
      <c r="BI726">
        <f t="shared" si="37"/>
        <v>0.666666666666667</v>
      </c>
      <c r="BJ726">
        <f t="shared" si="38"/>
        <v>13.5</v>
      </c>
    </row>
    <row r="727" spans="1:62">
      <c r="A727" s="1">
        <v>270109462</v>
      </c>
      <c r="B727">
        <v>21</v>
      </c>
      <c r="C727" t="s">
        <v>224</v>
      </c>
      <c r="D727" t="s">
        <v>60</v>
      </c>
      <c r="E727" t="s">
        <v>61</v>
      </c>
      <c r="F727" t="s">
        <v>62</v>
      </c>
      <c r="G727" t="s">
        <v>74</v>
      </c>
      <c r="H727" t="s">
        <v>909</v>
      </c>
      <c r="I727" t="s">
        <v>156</v>
      </c>
      <c r="J727" s="2">
        <v>61.19</v>
      </c>
      <c r="K727">
        <v>2</v>
      </c>
      <c r="L727" t="s">
        <v>65</v>
      </c>
      <c r="M727">
        <v>4</v>
      </c>
      <c r="N727">
        <v>5</v>
      </c>
      <c r="O727">
        <v>1</v>
      </c>
      <c r="P727" t="s">
        <v>66</v>
      </c>
      <c r="Q727" t="s">
        <v>80</v>
      </c>
      <c r="R727">
        <v>2</v>
      </c>
      <c r="S727">
        <v>6</v>
      </c>
      <c r="T727" t="s">
        <v>74</v>
      </c>
      <c r="U727" t="s">
        <v>105</v>
      </c>
      <c r="V727" t="s">
        <v>81</v>
      </c>
      <c r="W727" s="3">
        <v>45516</v>
      </c>
      <c r="X727" t="b">
        <v>1</v>
      </c>
      <c r="Y727" t="b">
        <v>1</v>
      </c>
      <c r="Z727" t="s">
        <v>82</v>
      </c>
      <c r="AA727" t="s">
        <v>71</v>
      </c>
      <c r="AB727">
        <v>3</v>
      </c>
      <c r="AO727" t="str">
        <f t="shared" si="36"/>
        <v>18-25</v>
      </c>
      <c r="BD727">
        <v>2</v>
      </c>
      <c r="BF727" cm="1">
        <f t="array" ref="BF727">CORREL(J727:J1727,S727:S1727)</f>
        <v>-0.00739832011323367</v>
      </c>
      <c r="BH727">
        <v>6</v>
      </c>
      <c r="BI727">
        <f t="shared" si="37"/>
        <v>0.333333333333333</v>
      </c>
      <c r="BJ727">
        <f t="shared" si="38"/>
        <v>18</v>
      </c>
    </row>
    <row r="728" spans="1:62">
      <c r="A728" s="1">
        <v>196894556</v>
      </c>
      <c r="B728">
        <v>50</v>
      </c>
      <c r="C728" t="s">
        <v>59</v>
      </c>
      <c r="D728" t="s">
        <v>60</v>
      </c>
      <c r="E728" t="s">
        <v>61</v>
      </c>
      <c r="F728" t="s">
        <v>75</v>
      </c>
      <c r="G728" t="s">
        <v>60</v>
      </c>
      <c r="H728" t="s">
        <v>910</v>
      </c>
      <c r="I728" t="s">
        <v>118</v>
      </c>
      <c r="J728" s="2">
        <v>471.31</v>
      </c>
      <c r="K728">
        <v>4</v>
      </c>
      <c r="L728" t="s">
        <v>65</v>
      </c>
      <c r="M728">
        <v>1</v>
      </c>
      <c r="N728">
        <v>5</v>
      </c>
      <c r="O728">
        <v>2</v>
      </c>
      <c r="P728" t="s">
        <v>74</v>
      </c>
      <c r="Q728" t="s">
        <v>109</v>
      </c>
      <c r="R728">
        <v>0</v>
      </c>
      <c r="S728">
        <v>8</v>
      </c>
      <c r="T728" t="s">
        <v>66</v>
      </c>
      <c r="U728" t="s">
        <v>90</v>
      </c>
      <c r="V728" t="s">
        <v>96</v>
      </c>
      <c r="W728" s="3">
        <v>45643</v>
      </c>
      <c r="X728" t="b">
        <v>0</v>
      </c>
      <c r="Y728" t="b">
        <v>1</v>
      </c>
      <c r="Z728" t="s">
        <v>92</v>
      </c>
      <c r="AA728" t="s">
        <v>97</v>
      </c>
      <c r="AB728">
        <v>7</v>
      </c>
      <c r="AO728" t="str">
        <f t="shared" si="36"/>
        <v>41-60</v>
      </c>
      <c r="BD728">
        <v>4</v>
      </c>
      <c r="BF728" cm="1">
        <f t="array" ref="BF728">CORREL(J728:J1728,S728:S1728)</f>
        <v>-0.00600257593603075</v>
      </c>
      <c r="BH728">
        <v>8</v>
      </c>
      <c r="BI728">
        <f t="shared" si="37"/>
        <v>0.5</v>
      </c>
      <c r="BJ728">
        <f t="shared" si="38"/>
        <v>16</v>
      </c>
    </row>
    <row r="729" spans="1:62">
      <c r="A729" s="1">
        <v>531436147</v>
      </c>
      <c r="B729">
        <v>49</v>
      </c>
      <c r="C729" t="s">
        <v>59</v>
      </c>
      <c r="D729" t="s">
        <v>74</v>
      </c>
      <c r="E729" t="s">
        <v>103</v>
      </c>
      <c r="F729" t="s">
        <v>75</v>
      </c>
      <c r="G729" t="s">
        <v>74</v>
      </c>
      <c r="H729" t="s">
        <v>911</v>
      </c>
      <c r="I729" t="s">
        <v>122</v>
      </c>
      <c r="J729" s="2">
        <v>179.19</v>
      </c>
      <c r="K729">
        <v>10</v>
      </c>
      <c r="L729" t="s">
        <v>78</v>
      </c>
      <c r="M729">
        <v>3</v>
      </c>
      <c r="N729">
        <v>1</v>
      </c>
      <c r="O729">
        <v>1</v>
      </c>
      <c r="P729" t="s">
        <v>84</v>
      </c>
      <c r="Q729" t="s">
        <v>80</v>
      </c>
      <c r="R729">
        <v>2</v>
      </c>
      <c r="S729">
        <v>7</v>
      </c>
      <c r="T729" t="s">
        <v>66</v>
      </c>
      <c r="U729" t="s">
        <v>68</v>
      </c>
      <c r="V729" t="s">
        <v>81</v>
      </c>
      <c r="W729" s="3">
        <v>45372</v>
      </c>
      <c r="X729" t="b">
        <v>0</v>
      </c>
      <c r="Y729" t="b">
        <v>0</v>
      </c>
      <c r="Z729" t="s">
        <v>92</v>
      </c>
      <c r="AA729" t="s">
        <v>97</v>
      </c>
      <c r="AB729">
        <v>12</v>
      </c>
      <c r="AO729" t="str">
        <f t="shared" si="36"/>
        <v>41-60</v>
      </c>
      <c r="BD729">
        <v>10</v>
      </c>
      <c r="BF729" cm="1">
        <f t="array" ref="BF729">CORREL(J729:J1729,S729:S1729)</f>
        <v>-0.0111642364257321</v>
      </c>
      <c r="BH729">
        <v>7</v>
      </c>
      <c r="BI729">
        <f t="shared" si="37"/>
        <v>1.42857142857143</v>
      </c>
      <c r="BJ729">
        <f t="shared" si="38"/>
        <v>4.9</v>
      </c>
    </row>
    <row r="730" spans="1:62">
      <c r="A730" s="4" t="s">
        <v>912</v>
      </c>
      <c r="B730">
        <v>43</v>
      </c>
      <c r="C730" t="s">
        <v>59</v>
      </c>
      <c r="D730" t="s">
        <v>74</v>
      </c>
      <c r="E730" t="s">
        <v>103</v>
      </c>
      <c r="F730" t="s">
        <v>75</v>
      </c>
      <c r="G730" t="s">
        <v>60</v>
      </c>
      <c r="H730" t="s">
        <v>913</v>
      </c>
      <c r="I730" t="s">
        <v>77</v>
      </c>
      <c r="J730" s="2">
        <v>294.61</v>
      </c>
      <c r="K730">
        <v>6</v>
      </c>
      <c r="L730" t="s">
        <v>78</v>
      </c>
      <c r="M730">
        <v>2</v>
      </c>
      <c r="N730">
        <v>1</v>
      </c>
      <c r="O730">
        <v>0</v>
      </c>
      <c r="P730" t="s">
        <v>66</v>
      </c>
      <c r="Q730" t="s">
        <v>109</v>
      </c>
      <c r="R730">
        <v>0</v>
      </c>
      <c r="S730">
        <v>2</v>
      </c>
      <c r="T730" t="s">
        <v>66</v>
      </c>
      <c r="U730" t="s">
        <v>105</v>
      </c>
      <c r="V730" t="s">
        <v>81</v>
      </c>
      <c r="W730" s="3">
        <v>45568</v>
      </c>
      <c r="X730" t="b">
        <v>0</v>
      </c>
      <c r="Y730" t="b">
        <v>1</v>
      </c>
      <c r="Z730" t="s">
        <v>82</v>
      </c>
      <c r="AA730" t="s">
        <v>97</v>
      </c>
      <c r="AB730">
        <v>4</v>
      </c>
      <c r="AO730" t="str">
        <f t="shared" si="36"/>
        <v>41-60</v>
      </c>
      <c r="BD730">
        <v>6</v>
      </c>
      <c r="BF730" cm="1">
        <f t="array" ref="BF730">CORREL(J730:J1730,S730:S1730)</f>
        <v>-0.00947220739791224</v>
      </c>
      <c r="BH730">
        <v>2</v>
      </c>
      <c r="BI730">
        <f t="shared" si="37"/>
        <v>3</v>
      </c>
      <c r="BJ730">
        <f t="shared" si="38"/>
        <v>0.666666666666667</v>
      </c>
    </row>
    <row r="731" spans="1:62">
      <c r="A731" s="1">
        <v>544394748</v>
      </c>
      <c r="B731">
        <v>35</v>
      </c>
      <c r="C731" t="s">
        <v>175</v>
      </c>
      <c r="D731" t="s">
        <v>74</v>
      </c>
      <c r="E731" t="s">
        <v>98</v>
      </c>
      <c r="F731" t="s">
        <v>62</v>
      </c>
      <c r="G731" t="s">
        <v>74</v>
      </c>
      <c r="H731" t="s">
        <v>914</v>
      </c>
      <c r="I731" t="s">
        <v>122</v>
      </c>
      <c r="J731" s="2">
        <v>375.45</v>
      </c>
      <c r="K731">
        <v>6</v>
      </c>
      <c r="L731" t="s">
        <v>85</v>
      </c>
      <c r="M731">
        <v>3</v>
      </c>
      <c r="N731">
        <v>4</v>
      </c>
      <c r="O731">
        <v>0</v>
      </c>
      <c r="P731" t="s">
        <v>74</v>
      </c>
      <c r="Q731" t="s">
        <v>80</v>
      </c>
      <c r="R731">
        <v>1</v>
      </c>
      <c r="S731">
        <v>8</v>
      </c>
      <c r="T731" t="s">
        <v>79</v>
      </c>
      <c r="U731" t="s">
        <v>90</v>
      </c>
      <c r="V731" t="s">
        <v>96</v>
      </c>
      <c r="W731" s="3">
        <v>45396</v>
      </c>
      <c r="X731" t="b">
        <v>0</v>
      </c>
      <c r="Y731" t="b">
        <v>1</v>
      </c>
      <c r="Z731" t="s">
        <v>92</v>
      </c>
      <c r="AA731" t="s">
        <v>97</v>
      </c>
      <c r="AB731">
        <v>1</v>
      </c>
      <c r="AO731" t="str">
        <f t="shared" si="36"/>
        <v>26-40</v>
      </c>
      <c r="BD731">
        <v>6</v>
      </c>
      <c r="BF731" cm="1">
        <f t="array" ref="BF731">CORREL(J731:J1731,S731:S1731)</f>
        <v>-0.00902593243545814</v>
      </c>
      <c r="BH731">
        <v>8</v>
      </c>
      <c r="BI731">
        <f t="shared" si="37"/>
        <v>0.75</v>
      </c>
      <c r="BJ731">
        <f t="shared" si="38"/>
        <v>10.6666666666667</v>
      </c>
    </row>
    <row r="732" spans="1:62">
      <c r="A732" s="1">
        <v>669499895</v>
      </c>
      <c r="B732">
        <v>21</v>
      </c>
      <c r="C732" t="s">
        <v>73</v>
      </c>
      <c r="D732" t="s">
        <v>60</v>
      </c>
      <c r="E732" t="s">
        <v>98</v>
      </c>
      <c r="F732" t="s">
        <v>87</v>
      </c>
      <c r="G732" t="s">
        <v>74</v>
      </c>
      <c r="H732" t="s">
        <v>915</v>
      </c>
      <c r="I732" t="s">
        <v>131</v>
      </c>
      <c r="J732" s="2">
        <v>83.5</v>
      </c>
      <c r="K732">
        <v>12</v>
      </c>
      <c r="L732" t="s">
        <v>78</v>
      </c>
      <c r="M732">
        <v>2</v>
      </c>
      <c r="N732">
        <v>4</v>
      </c>
      <c r="O732">
        <v>0</v>
      </c>
      <c r="P732" t="s">
        <v>66</v>
      </c>
      <c r="Q732" t="s">
        <v>80</v>
      </c>
      <c r="R732">
        <v>2</v>
      </c>
      <c r="S732">
        <v>7</v>
      </c>
      <c r="T732" t="s">
        <v>84</v>
      </c>
      <c r="U732" t="s">
        <v>90</v>
      </c>
      <c r="V732" t="s">
        <v>110</v>
      </c>
      <c r="W732" s="3">
        <v>45316</v>
      </c>
      <c r="X732" t="b">
        <v>1</v>
      </c>
      <c r="Y732" t="b">
        <v>1</v>
      </c>
      <c r="Z732" t="s">
        <v>70</v>
      </c>
      <c r="AA732" t="s">
        <v>83</v>
      </c>
      <c r="AB732">
        <v>10</v>
      </c>
      <c r="AO732" t="str">
        <f t="shared" ref="AO732:AO795" si="39">IF(B732&lt;=25,"18-25",IF(B732&lt;=40,"26-40",IF(B732&lt;=60,"41-60","Above60")))</f>
        <v>18-25</v>
      </c>
      <c r="BD732">
        <v>12</v>
      </c>
      <c r="BF732" cm="1">
        <f t="array" ref="BF732">CORREL(J732:J1732,S732:S1732)</f>
        <v>-0.0116254726033421</v>
      </c>
      <c r="BH732">
        <v>7</v>
      </c>
      <c r="BI732">
        <f t="shared" si="37"/>
        <v>1.71428571428571</v>
      </c>
      <c r="BJ732">
        <f t="shared" si="38"/>
        <v>4.08333333333333</v>
      </c>
    </row>
    <row r="733" spans="1:62">
      <c r="A733" s="1">
        <v>206481010</v>
      </c>
      <c r="B733">
        <v>34</v>
      </c>
      <c r="C733" t="s">
        <v>73</v>
      </c>
      <c r="D733" t="s">
        <v>74</v>
      </c>
      <c r="E733" t="s">
        <v>61</v>
      </c>
      <c r="F733" t="s">
        <v>75</v>
      </c>
      <c r="G733" t="s">
        <v>60</v>
      </c>
      <c r="H733" t="s">
        <v>916</v>
      </c>
      <c r="I733" t="s">
        <v>95</v>
      </c>
      <c r="J733" s="2">
        <v>109.88</v>
      </c>
      <c r="K733">
        <v>7</v>
      </c>
      <c r="L733" t="s">
        <v>85</v>
      </c>
      <c r="M733">
        <v>4</v>
      </c>
      <c r="N733">
        <v>4</v>
      </c>
      <c r="O733">
        <v>1</v>
      </c>
      <c r="P733" t="s">
        <v>84</v>
      </c>
      <c r="Q733" t="s">
        <v>109</v>
      </c>
      <c r="R733">
        <v>1</v>
      </c>
      <c r="S733">
        <v>3</v>
      </c>
      <c r="T733" t="s">
        <v>79</v>
      </c>
      <c r="U733" t="s">
        <v>90</v>
      </c>
      <c r="V733" t="s">
        <v>69</v>
      </c>
      <c r="W733" s="3">
        <v>45296</v>
      </c>
      <c r="X733" t="b">
        <v>0</v>
      </c>
      <c r="Y733" t="b">
        <v>1</v>
      </c>
      <c r="Z733" t="s">
        <v>92</v>
      </c>
      <c r="AA733" t="s">
        <v>83</v>
      </c>
      <c r="AB733">
        <v>11</v>
      </c>
      <c r="AO733" t="str">
        <f t="shared" si="39"/>
        <v>26-40</v>
      </c>
      <c r="BD733">
        <v>7</v>
      </c>
      <c r="BF733" cm="1">
        <f t="array" ref="BF733">CORREL(J733:J1733,S733:S1733)</f>
        <v>-0.00831139012182275</v>
      </c>
      <c r="BH733">
        <v>3</v>
      </c>
      <c r="BI733">
        <f t="shared" si="37"/>
        <v>2.33333333333333</v>
      </c>
      <c r="BJ733">
        <f t="shared" si="38"/>
        <v>1.28571428571429</v>
      </c>
    </row>
    <row r="734" spans="1:62">
      <c r="A734" s="1">
        <v>799395393</v>
      </c>
      <c r="B734">
        <v>21</v>
      </c>
      <c r="C734" t="s">
        <v>59</v>
      </c>
      <c r="D734" t="s">
        <v>74</v>
      </c>
      <c r="E734" t="s">
        <v>61</v>
      </c>
      <c r="F734" t="s">
        <v>75</v>
      </c>
      <c r="G734" t="s">
        <v>74</v>
      </c>
      <c r="H734" t="s">
        <v>917</v>
      </c>
      <c r="I734" t="s">
        <v>89</v>
      </c>
      <c r="J734" s="2">
        <v>182.54</v>
      </c>
      <c r="K734">
        <v>11</v>
      </c>
      <c r="L734" t="s">
        <v>65</v>
      </c>
      <c r="M734">
        <v>5</v>
      </c>
      <c r="N734">
        <v>5</v>
      </c>
      <c r="O734">
        <v>1</v>
      </c>
      <c r="P734" t="s">
        <v>79</v>
      </c>
      <c r="Q734" t="s">
        <v>67</v>
      </c>
      <c r="R734">
        <v>1</v>
      </c>
      <c r="S734">
        <v>1</v>
      </c>
      <c r="T734" t="s">
        <v>74</v>
      </c>
      <c r="U734" t="s">
        <v>68</v>
      </c>
      <c r="V734" t="s">
        <v>110</v>
      </c>
      <c r="W734" s="3">
        <v>45525</v>
      </c>
      <c r="X734" t="b">
        <v>0</v>
      </c>
      <c r="Y734" t="b">
        <v>0</v>
      </c>
      <c r="Z734" t="s">
        <v>70</v>
      </c>
      <c r="AA734" t="s">
        <v>83</v>
      </c>
      <c r="AB734">
        <v>13</v>
      </c>
      <c r="AO734" t="str">
        <f t="shared" si="39"/>
        <v>18-25</v>
      </c>
      <c r="BD734">
        <v>11</v>
      </c>
      <c r="BF734" cm="1">
        <f t="array" ref="BF734">CORREL(J734:J1734,S734:S1734)</f>
        <v>-0.0124783426738944</v>
      </c>
      <c r="BH734">
        <v>1</v>
      </c>
      <c r="BI734">
        <f t="shared" si="37"/>
        <v>11</v>
      </c>
      <c r="BJ734">
        <f t="shared" si="38"/>
        <v>0.0909090909090909</v>
      </c>
    </row>
    <row r="735" spans="1:62">
      <c r="A735" s="1">
        <v>892498369</v>
      </c>
      <c r="B735">
        <v>23</v>
      </c>
      <c r="C735" t="s">
        <v>59</v>
      </c>
      <c r="D735" t="s">
        <v>74</v>
      </c>
      <c r="E735" t="s">
        <v>98</v>
      </c>
      <c r="F735" t="s">
        <v>62</v>
      </c>
      <c r="G735" t="s">
        <v>74</v>
      </c>
      <c r="H735" t="s">
        <v>918</v>
      </c>
      <c r="I735" t="s">
        <v>100</v>
      </c>
      <c r="J735" s="2">
        <v>465.48</v>
      </c>
      <c r="K735">
        <v>3</v>
      </c>
      <c r="L735" t="s">
        <v>65</v>
      </c>
      <c r="M735">
        <v>3</v>
      </c>
      <c r="N735">
        <v>3</v>
      </c>
      <c r="O735">
        <v>2</v>
      </c>
      <c r="P735" t="s">
        <v>79</v>
      </c>
      <c r="Q735" t="s">
        <v>109</v>
      </c>
      <c r="R735">
        <v>1</v>
      </c>
      <c r="S735">
        <v>8</v>
      </c>
      <c r="T735" t="s">
        <v>79</v>
      </c>
      <c r="U735" t="s">
        <v>68</v>
      </c>
      <c r="V735" t="s">
        <v>110</v>
      </c>
      <c r="W735" s="3">
        <v>45464</v>
      </c>
      <c r="X735" t="b">
        <v>0</v>
      </c>
      <c r="Y735" t="b">
        <v>0</v>
      </c>
      <c r="Z735" t="s">
        <v>82</v>
      </c>
      <c r="AA735" t="s">
        <v>71</v>
      </c>
      <c r="AB735">
        <v>1</v>
      </c>
      <c r="AO735" t="str">
        <f t="shared" si="39"/>
        <v>18-25</v>
      </c>
      <c r="BD735">
        <v>3</v>
      </c>
      <c r="BF735" cm="1">
        <f t="array" ref="BF735">CORREL(J735:J1735,S735:S1735)</f>
        <v>-0.0170279135426388</v>
      </c>
      <c r="BH735">
        <v>8</v>
      </c>
      <c r="BI735">
        <f t="shared" si="37"/>
        <v>0.375</v>
      </c>
      <c r="BJ735">
        <f t="shared" si="38"/>
        <v>21.3333333333333</v>
      </c>
    </row>
    <row r="736" spans="1:62">
      <c r="A736" s="1">
        <v>853661482</v>
      </c>
      <c r="B736">
        <v>31</v>
      </c>
      <c r="C736" t="s">
        <v>59</v>
      </c>
      <c r="D736" t="s">
        <v>60</v>
      </c>
      <c r="E736" t="s">
        <v>61</v>
      </c>
      <c r="F736" t="s">
        <v>75</v>
      </c>
      <c r="G736" t="s">
        <v>60</v>
      </c>
      <c r="H736" t="s">
        <v>919</v>
      </c>
      <c r="I736" t="s">
        <v>122</v>
      </c>
      <c r="J736" s="2">
        <v>224.52</v>
      </c>
      <c r="K736">
        <v>8</v>
      </c>
      <c r="L736" t="s">
        <v>65</v>
      </c>
      <c r="M736">
        <v>3</v>
      </c>
      <c r="N736">
        <v>3</v>
      </c>
      <c r="O736">
        <v>2</v>
      </c>
      <c r="P736" t="s">
        <v>84</v>
      </c>
      <c r="Q736" t="s">
        <v>80</v>
      </c>
      <c r="R736">
        <v>1</v>
      </c>
      <c r="S736">
        <v>5</v>
      </c>
      <c r="T736" t="s">
        <v>74</v>
      </c>
      <c r="U736" t="s">
        <v>105</v>
      </c>
      <c r="V736" t="s">
        <v>69</v>
      </c>
      <c r="W736" s="3">
        <v>45625</v>
      </c>
      <c r="X736" t="b">
        <v>1</v>
      </c>
      <c r="Y736" t="b">
        <v>0</v>
      </c>
      <c r="Z736" t="s">
        <v>92</v>
      </c>
      <c r="AA736" t="s">
        <v>97</v>
      </c>
      <c r="AB736">
        <v>1</v>
      </c>
      <c r="AO736" t="str">
        <f t="shared" si="39"/>
        <v>26-40</v>
      </c>
      <c r="BD736">
        <v>8</v>
      </c>
      <c r="BF736" cm="1">
        <f t="array" ref="BF736">CORREL(J736:J1736,S736:S1736)</f>
        <v>-0.0221935977937197</v>
      </c>
      <c r="BH736">
        <v>5</v>
      </c>
      <c r="BI736">
        <f t="shared" si="37"/>
        <v>1.6</v>
      </c>
      <c r="BJ736">
        <f t="shared" si="38"/>
        <v>3.125</v>
      </c>
    </row>
    <row r="737" spans="1:62">
      <c r="A737" s="1">
        <v>348747357</v>
      </c>
      <c r="B737">
        <v>21</v>
      </c>
      <c r="C737" t="s">
        <v>73</v>
      </c>
      <c r="D737" t="s">
        <v>74</v>
      </c>
      <c r="E737" t="s">
        <v>98</v>
      </c>
      <c r="F737" t="s">
        <v>87</v>
      </c>
      <c r="G737" t="s">
        <v>60</v>
      </c>
      <c r="H737" t="s">
        <v>920</v>
      </c>
      <c r="I737" t="s">
        <v>174</v>
      </c>
      <c r="J737" s="2">
        <v>281.37</v>
      </c>
      <c r="K737">
        <v>12</v>
      </c>
      <c r="L737" t="s">
        <v>85</v>
      </c>
      <c r="M737">
        <v>2</v>
      </c>
      <c r="N737">
        <v>3</v>
      </c>
      <c r="O737">
        <v>2</v>
      </c>
      <c r="P737" t="s">
        <v>84</v>
      </c>
      <c r="Q737" t="s">
        <v>109</v>
      </c>
      <c r="R737">
        <v>0</v>
      </c>
      <c r="S737">
        <v>2</v>
      </c>
      <c r="T737" t="s">
        <v>84</v>
      </c>
      <c r="U737" t="s">
        <v>90</v>
      </c>
      <c r="V737" t="s">
        <v>91</v>
      </c>
      <c r="W737" s="3">
        <v>45293</v>
      </c>
      <c r="X737" t="b">
        <v>0</v>
      </c>
      <c r="Y737" t="b">
        <v>1</v>
      </c>
      <c r="Z737" t="s">
        <v>92</v>
      </c>
      <c r="AA737" t="s">
        <v>97</v>
      </c>
      <c r="AB737">
        <v>14</v>
      </c>
      <c r="AO737" t="str">
        <f t="shared" si="39"/>
        <v>18-25</v>
      </c>
      <c r="BD737">
        <v>12</v>
      </c>
      <c r="BF737" cm="1">
        <f t="array" ref="BF737">CORREL(J737:J1737,S737:S1737)</f>
        <v>-0.0224083255774293</v>
      </c>
      <c r="BH737">
        <v>2</v>
      </c>
      <c r="BI737">
        <f t="shared" si="37"/>
        <v>6</v>
      </c>
      <c r="BJ737">
        <f t="shared" si="38"/>
        <v>0.333333333333333</v>
      </c>
    </row>
    <row r="738" spans="1:62">
      <c r="A738" s="1">
        <v>118205039</v>
      </c>
      <c r="B738">
        <v>22</v>
      </c>
      <c r="C738" t="s">
        <v>59</v>
      </c>
      <c r="D738" t="s">
        <v>60</v>
      </c>
      <c r="E738" t="s">
        <v>61</v>
      </c>
      <c r="F738" t="s">
        <v>62</v>
      </c>
      <c r="G738" t="s">
        <v>60</v>
      </c>
      <c r="H738" t="s">
        <v>921</v>
      </c>
      <c r="I738" t="s">
        <v>89</v>
      </c>
      <c r="J738" s="2">
        <v>125.68</v>
      </c>
      <c r="K738">
        <v>2</v>
      </c>
      <c r="L738" t="s">
        <v>85</v>
      </c>
      <c r="M738">
        <v>1</v>
      </c>
      <c r="N738">
        <v>4</v>
      </c>
      <c r="O738">
        <v>1</v>
      </c>
      <c r="P738" t="s">
        <v>66</v>
      </c>
      <c r="Q738" t="s">
        <v>80</v>
      </c>
      <c r="R738">
        <v>1</v>
      </c>
      <c r="S738">
        <v>8</v>
      </c>
      <c r="T738" t="s">
        <v>79</v>
      </c>
      <c r="U738" t="s">
        <v>90</v>
      </c>
      <c r="V738" t="s">
        <v>91</v>
      </c>
      <c r="W738" s="3">
        <v>45464</v>
      </c>
      <c r="X738" t="b">
        <v>1</v>
      </c>
      <c r="Y738" t="b">
        <v>0</v>
      </c>
      <c r="Z738" t="s">
        <v>70</v>
      </c>
      <c r="AA738" t="s">
        <v>97</v>
      </c>
      <c r="AB738">
        <v>9</v>
      </c>
      <c r="AO738" t="str">
        <f t="shared" si="39"/>
        <v>18-25</v>
      </c>
      <c r="BD738">
        <v>2</v>
      </c>
      <c r="BF738" cm="1">
        <f t="array" ref="BF738">CORREL(J738:J1738,S738:S1738)</f>
        <v>-0.022479046686489</v>
      </c>
      <c r="BH738">
        <v>8</v>
      </c>
      <c r="BI738">
        <f t="shared" si="37"/>
        <v>0.25</v>
      </c>
      <c r="BJ738">
        <f t="shared" si="38"/>
        <v>32</v>
      </c>
    </row>
    <row r="739" spans="1:62">
      <c r="A739" s="1">
        <v>738461423</v>
      </c>
      <c r="B739">
        <v>38</v>
      </c>
      <c r="C739" t="s">
        <v>59</v>
      </c>
      <c r="D739" t="s">
        <v>74</v>
      </c>
      <c r="E739" t="s">
        <v>86</v>
      </c>
      <c r="F739" t="s">
        <v>75</v>
      </c>
      <c r="G739" t="s">
        <v>74</v>
      </c>
      <c r="H739" t="s">
        <v>922</v>
      </c>
      <c r="I739" t="s">
        <v>174</v>
      </c>
      <c r="J739" s="2">
        <v>178.21</v>
      </c>
      <c r="K739">
        <v>7</v>
      </c>
      <c r="L739" t="s">
        <v>78</v>
      </c>
      <c r="M739">
        <v>1</v>
      </c>
      <c r="N739">
        <v>5</v>
      </c>
      <c r="O739">
        <v>2</v>
      </c>
      <c r="P739" t="s">
        <v>84</v>
      </c>
      <c r="Q739" t="s">
        <v>67</v>
      </c>
      <c r="R739">
        <v>2</v>
      </c>
      <c r="S739">
        <v>8</v>
      </c>
      <c r="T739" t="s">
        <v>66</v>
      </c>
      <c r="U739" t="s">
        <v>105</v>
      </c>
      <c r="V739" t="s">
        <v>81</v>
      </c>
      <c r="W739" s="3">
        <v>45436</v>
      </c>
      <c r="X739" t="b">
        <v>0</v>
      </c>
      <c r="Y739" t="b">
        <v>0</v>
      </c>
      <c r="Z739" t="s">
        <v>102</v>
      </c>
      <c r="AA739" t="s">
        <v>71</v>
      </c>
      <c r="AB739">
        <v>9</v>
      </c>
      <c r="AO739" t="str">
        <f t="shared" si="39"/>
        <v>26-40</v>
      </c>
      <c r="BD739">
        <v>7</v>
      </c>
      <c r="BF739" cm="1">
        <f t="array" ref="BF739">CORREL(J739:J1739,S739:S1739)</f>
        <v>-0.0182388149746412</v>
      </c>
      <c r="BH739">
        <v>8</v>
      </c>
      <c r="BI739">
        <f t="shared" si="37"/>
        <v>0.875</v>
      </c>
      <c r="BJ739">
        <f t="shared" si="38"/>
        <v>9.14285714285714</v>
      </c>
    </row>
    <row r="740" spans="1:62">
      <c r="A740" s="1">
        <v>903638040</v>
      </c>
      <c r="B740">
        <v>27</v>
      </c>
      <c r="C740" t="s">
        <v>73</v>
      </c>
      <c r="D740" t="s">
        <v>74</v>
      </c>
      <c r="E740" t="s">
        <v>103</v>
      </c>
      <c r="F740" t="s">
        <v>62</v>
      </c>
      <c r="G740" t="s">
        <v>60</v>
      </c>
      <c r="H740" t="s">
        <v>923</v>
      </c>
      <c r="I740" t="s">
        <v>122</v>
      </c>
      <c r="J740" s="2">
        <v>483.23</v>
      </c>
      <c r="K740">
        <v>7</v>
      </c>
      <c r="L740" t="s">
        <v>85</v>
      </c>
      <c r="M740">
        <v>2</v>
      </c>
      <c r="N740">
        <v>4</v>
      </c>
      <c r="O740">
        <v>2</v>
      </c>
      <c r="P740" t="s">
        <v>79</v>
      </c>
      <c r="Q740" t="s">
        <v>67</v>
      </c>
      <c r="R740">
        <v>0</v>
      </c>
      <c r="S740">
        <v>5</v>
      </c>
      <c r="T740" t="s">
        <v>74</v>
      </c>
      <c r="U740" t="s">
        <v>90</v>
      </c>
      <c r="V740" t="s">
        <v>81</v>
      </c>
      <c r="W740" s="3">
        <v>45645</v>
      </c>
      <c r="X740" t="b">
        <v>1</v>
      </c>
      <c r="Y740" t="b">
        <v>0</v>
      </c>
      <c r="Z740" t="s">
        <v>92</v>
      </c>
      <c r="AA740" t="s">
        <v>97</v>
      </c>
      <c r="AB740">
        <v>9</v>
      </c>
      <c r="AO740" t="str">
        <f t="shared" si="39"/>
        <v>26-40</v>
      </c>
      <c r="BD740">
        <v>7</v>
      </c>
      <c r="BF740" cm="1">
        <f t="array" ref="BF740">CORREL(J740:J1740,S740:S1740)</f>
        <v>-0.0153779761091305</v>
      </c>
      <c r="BH740">
        <v>5</v>
      </c>
      <c r="BI740">
        <f t="shared" si="37"/>
        <v>1.4</v>
      </c>
      <c r="BJ740">
        <f t="shared" si="38"/>
        <v>3.57142857142857</v>
      </c>
    </row>
    <row r="741" spans="1:62">
      <c r="A741" s="1">
        <v>655331660</v>
      </c>
      <c r="B741">
        <v>18</v>
      </c>
      <c r="C741" t="s">
        <v>73</v>
      </c>
      <c r="D741" t="s">
        <v>60</v>
      </c>
      <c r="E741" t="s">
        <v>61</v>
      </c>
      <c r="F741" t="s">
        <v>87</v>
      </c>
      <c r="G741" t="s">
        <v>74</v>
      </c>
      <c r="H741" t="s">
        <v>924</v>
      </c>
      <c r="I741" t="s">
        <v>95</v>
      </c>
      <c r="J741" s="2">
        <v>415.3</v>
      </c>
      <c r="K741">
        <v>11</v>
      </c>
      <c r="L741" t="s">
        <v>78</v>
      </c>
      <c r="M741">
        <v>4</v>
      </c>
      <c r="N741">
        <v>2</v>
      </c>
      <c r="O741">
        <v>1</v>
      </c>
      <c r="P741" t="s">
        <v>84</v>
      </c>
      <c r="Q741" t="s">
        <v>109</v>
      </c>
      <c r="R741">
        <v>1</v>
      </c>
      <c r="S741">
        <v>9</v>
      </c>
      <c r="T741" t="s">
        <v>66</v>
      </c>
      <c r="U741" t="s">
        <v>68</v>
      </c>
      <c r="V741" t="s">
        <v>81</v>
      </c>
      <c r="W741" s="3">
        <v>45560</v>
      </c>
      <c r="X741" t="b">
        <v>0</v>
      </c>
      <c r="Y741" t="b">
        <v>1</v>
      </c>
      <c r="Z741" t="s">
        <v>92</v>
      </c>
      <c r="AA741" t="s">
        <v>83</v>
      </c>
      <c r="AB741">
        <v>2</v>
      </c>
      <c r="AO741" t="str">
        <f t="shared" si="39"/>
        <v>18-25</v>
      </c>
      <c r="BD741">
        <v>11</v>
      </c>
      <c r="BF741" cm="1">
        <f t="array" ref="BF741">CORREL(J741:J1741,S741:S1741)</f>
        <v>-0.0147254077625688</v>
      </c>
      <c r="BH741">
        <v>9</v>
      </c>
      <c r="BI741">
        <f t="shared" si="37"/>
        <v>1.22222222222222</v>
      </c>
      <c r="BJ741">
        <f t="shared" si="38"/>
        <v>7.36363636363636</v>
      </c>
    </row>
    <row r="742" spans="1:62">
      <c r="A742" s="1">
        <v>983768787</v>
      </c>
      <c r="B742">
        <v>36</v>
      </c>
      <c r="C742" t="s">
        <v>73</v>
      </c>
      <c r="D742" t="s">
        <v>74</v>
      </c>
      <c r="E742" t="s">
        <v>61</v>
      </c>
      <c r="F742" t="s">
        <v>87</v>
      </c>
      <c r="G742" t="s">
        <v>60</v>
      </c>
      <c r="H742" t="s">
        <v>925</v>
      </c>
      <c r="I742" t="s">
        <v>131</v>
      </c>
      <c r="J742" s="2">
        <v>85.52</v>
      </c>
      <c r="K742">
        <v>7</v>
      </c>
      <c r="L742" t="s">
        <v>65</v>
      </c>
      <c r="M742">
        <v>1</v>
      </c>
      <c r="N742">
        <v>5</v>
      </c>
      <c r="O742">
        <v>0</v>
      </c>
      <c r="P742" t="s">
        <v>79</v>
      </c>
      <c r="Q742" t="s">
        <v>67</v>
      </c>
      <c r="R742">
        <v>1</v>
      </c>
      <c r="S742">
        <v>3</v>
      </c>
      <c r="T742" t="s">
        <v>84</v>
      </c>
      <c r="U742" t="s">
        <v>90</v>
      </c>
      <c r="V742" t="s">
        <v>96</v>
      </c>
      <c r="W742" s="3">
        <v>45596</v>
      </c>
      <c r="X742" t="b">
        <v>0</v>
      </c>
      <c r="Y742" t="b">
        <v>1</v>
      </c>
      <c r="Z742" t="s">
        <v>102</v>
      </c>
      <c r="AA742" t="s">
        <v>71</v>
      </c>
      <c r="AB742">
        <v>7</v>
      </c>
      <c r="AO742" t="str">
        <f t="shared" si="39"/>
        <v>26-40</v>
      </c>
      <c r="BD742">
        <v>7</v>
      </c>
      <c r="BF742" cm="1">
        <f t="array" ref="BF742">CORREL(J742:J1742,S742:S1742)</f>
        <v>-0.0200184801617837</v>
      </c>
      <c r="BH742">
        <v>3</v>
      </c>
      <c r="BI742">
        <f t="shared" si="37"/>
        <v>2.33333333333333</v>
      </c>
      <c r="BJ742">
        <f t="shared" si="38"/>
        <v>1.28571428571429</v>
      </c>
    </row>
    <row r="743" spans="1:62">
      <c r="A743" s="1">
        <v>189389896</v>
      </c>
      <c r="B743">
        <v>44</v>
      </c>
      <c r="C743" t="s">
        <v>59</v>
      </c>
      <c r="D743" t="s">
        <v>60</v>
      </c>
      <c r="E743" t="s">
        <v>98</v>
      </c>
      <c r="F743" t="s">
        <v>75</v>
      </c>
      <c r="G743" t="s">
        <v>74</v>
      </c>
      <c r="H743" t="s">
        <v>926</v>
      </c>
      <c r="I743" t="s">
        <v>129</v>
      </c>
      <c r="J743" s="2">
        <v>422.31</v>
      </c>
      <c r="K743">
        <v>2</v>
      </c>
      <c r="L743" t="s">
        <v>78</v>
      </c>
      <c r="M743">
        <v>3</v>
      </c>
      <c r="N743">
        <v>4</v>
      </c>
      <c r="O743">
        <v>1</v>
      </c>
      <c r="P743" t="s">
        <v>79</v>
      </c>
      <c r="Q743" t="s">
        <v>109</v>
      </c>
      <c r="R743">
        <v>0</v>
      </c>
      <c r="S743">
        <v>6</v>
      </c>
      <c r="T743" t="s">
        <v>66</v>
      </c>
      <c r="U743" t="s">
        <v>90</v>
      </c>
      <c r="V743" t="s">
        <v>96</v>
      </c>
      <c r="W743" s="3">
        <v>45513</v>
      </c>
      <c r="X743" t="b">
        <v>1</v>
      </c>
      <c r="Y743" t="b">
        <v>1</v>
      </c>
      <c r="Z743" t="s">
        <v>92</v>
      </c>
      <c r="AA743" t="s">
        <v>71</v>
      </c>
      <c r="AB743">
        <v>3</v>
      </c>
      <c r="AO743" t="str">
        <f t="shared" si="39"/>
        <v>41-60</v>
      </c>
      <c r="BD743">
        <v>2</v>
      </c>
      <c r="BF743" cm="1">
        <f t="array" ref="BF743">CORREL(J743:J1743,S743:S1743)</f>
        <v>-0.0250290289393355</v>
      </c>
      <c r="BH743">
        <v>6</v>
      </c>
      <c r="BI743">
        <f t="shared" si="37"/>
        <v>0.333333333333333</v>
      </c>
      <c r="BJ743">
        <f t="shared" si="38"/>
        <v>18</v>
      </c>
    </row>
    <row r="744" spans="1:62">
      <c r="A744" s="4" t="s">
        <v>927</v>
      </c>
      <c r="B744">
        <v>48</v>
      </c>
      <c r="C744" t="s">
        <v>111</v>
      </c>
      <c r="D744" t="s">
        <v>74</v>
      </c>
      <c r="E744" t="s">
        <v>61</v>
      </c>
      <c r="F744" t="s">
        <v>75</v>
      </c>
      <c r="G744" t="s">
        <v>74</v>
      </c>
      <c r="H744" t="s">
        <v>928</v>
      </c>
      <c r="I744" t="s">
        <v>143</v>
      </c>
      <c r="J744" s="2">
        <v>70.42</v>
      </c>
      <c r="K744">
        <v>11</v>
      </c>
      <c r="L744" t="s">
        <v>85</v>
      </c>
      <c r="M744">
        <v>4</v>
      </c>
      <c r="N744">
        <v>5</v>
      </c>
      <c r="O744">
        <v>1</v>
      </c>
      <c r="P744" t="s">
        <v>74</v>
      </c>
      <c r="Q744" t="s">
        <v>80</v>
      </c>
      <c r="R744">
        <v>2</v>
      </c>
      <c r="S744">
        <v>7</v>
      </c>
      <c r="T744" t="s">
        <v>84</v>
      </c>
      <c r="U744" t="s">
        <v>105</v>
      </c>
      <c r="V744" t="s">
        <v>96</v>
      </c>
      <c r="W744" s="3">
        <v>45566</v>
      </c>
      <c r="X744" t="b">
        <v>0</v>
      </c>
      <c r="Y744" t="b">
        <v>1</v>
      </c>
      <c r="Z744" t="s">
        <v>70</v>
      </c>
      <c r="AA744" t="s">
        <v>97</v>
      </c>
      <c r="AB744">
        <v>14</v>
      </c>
      <c r="AO744" t="str">
        <f t="shared" si="39"/>
        <v>41-60</v>
      </c>
      <c r="BD744">
        <v>11</v>
      </c>
      <c r="BF744" cm="1">
        <f t="array" ref="BF744">CORREL(J744:J1744,S744:S1744)</f>
        <v>-0.0260916522973992</v>
      </c>
      <c r="BH744">
        <v>7</v>
      </c>
      <c r="BI744">
        <f t="shared" si="37"/>
        <v>1.57142857142857</v>
      </c>
      <c r="BJ744">
        <f t="shared" si="38"/>
        <v>4.45454545454546</v>
      </c>
    </row>
    <row r="745" spans="1:62">
      <c r="A745" s="1">
        <v>934550576</v>
      </c>
      <c r="B745">
        <v>23</v>
      </c>
      <c r="C745" t="s">
        <v>59</v>
      </c>
      <c r="D745" t="s">
        <v>60</v>
      </c>
      <c r="E745" t="s">
        <v>98</v>
      </c>
      <c r="F745" t="s">
        <v>87</v>
      </c>
      <c r="G745" t="s">
        <v>60</v>
      </c>
      <c r="H745" t="s">
        <v>929</v>
      </c>
      <c r="I745" t="s">
        <v>137</v>
      </c>
      <c r="J745" s="2">
        <v>437.4</v>
      </c>
      <c r="K745">
        <v>6</v>
      </c>
      <c r="L745" t="s">
        <v>65</v>
      </c>
      <c r="M745">
        <v>1</v>
      </c>
      <c r="N745">
        <v>4</v>
      </c>
      <c r="O745">
        <v>1</v>
      </c>
      <c r="P745" t="s">
        <v>74</v>
      </c>
      <c r="Q745" t="s">
        <v>67</v>
      </c>
      <c r="R745">
        <v>2</v>
      </c>
      <c r="S745">
        <v>5</v>
      </c>
      <c r="T745" t="s">
        <v>84</v>
      </c>
      <c r="U745" t="s">
        <v>68</v>
      </c>
      <c r="V745" t="s">
        <v>69</v>
      </c>
      <c r="W745" s="3">
        <v>45459</v>
      </c>
      <c r="X745" t="b">
        <v>0</v>
      </c>
      <c r="Y745" t="b">
        <v>0</v>
      </c>
      <c r="Z745" t="s">
        <v>102</v>
      </c>
      <c r="AA745" t="s">
        <v>97</v>
      </c>
      <c r="AB745">
        <v>1</v>
      </c>
      <c r="AO745" t="str">
        <f t="shared" si="39"/>
        <v>18-25</v>
      </c>
      <c r="BD745">
        <v>6</v>
      </c>
      <c r="BF745" cm="1">
        <f t="array" ref="BF745">CORREL(J745:J1745,S745:S1745)</f>
        <v>-0.0224350432557415</v>
      </c>
      <c r="BH745">
        <v>5</v>
      </c>
      <c r="BI745">
        <f t="shared" si="37"/>
        <v>1.2</v>
      </c>
      <c r="BJ745">
        <f t="shared" si="38"/>
        <v>4.16666666666667</v>
      </c>
    </row>
    <row r="746" spans="1:62">
      <c r="A746" s="1">
        <v>846379188</v>
      </c>
      <c r="B746">
        <v>35</v>
      </c>
      <c r="C746" t="s">
        <v>73</v>
      </c>
      <c r="D746" t="s">
        <v>60</v>
      </c>
      <c r="E746" t="s">
        <v>103</v>
      </c>
      <c r="F746" t="s">
        <v>62</v>
      </c>
      <c r="G746" t="s">
        <v>60</v>
      </c>
      <c r="H746" t="s">
        <v>930</v>
      </c>
      <c r="I746" t="s">
        <v>209</v>
      </c>
      <c r="J746" s="2">
        <v>207.11</v>
      </c>
      <c r="K746">
        <v>4</v>
      </c>
      <c r="L746" t="s">
        <v>65</v>
      </c>
      <c r="M746">
        <v>1</v>
      </c>
      <c r="N746">
        <v>4</v>
      </c>
      <c r="O746">
        <v>2</v>
      </c>
      <c r="P746" t="s">
        <v>74</v>
      </c>
      <c r="Q746" t="s">
        <v>80</v>
      </c>
      <c r="R746">
        <v>0</v>
      </c>
      <c r="S746">
        <v>1</v>
      </c>
      <c r="T746" t="s">
        <v>84</v>
      </c>
      <c r="U746" t="s">
        <v>68</v>
      </c>
      <c r="V746" t="s">
        <v>96</v>
      </c>
      <c r="W746" s="3">
        <v>45379</v>
      </c>
      <c r="X746" t="b">
        <v>1</v>
      </c>
      <c r="Y746" t="b">
        <v>0</v>
      </c>
      <c r="Z746" t="s">
        <v>70</v>
      </c>
      <c r="AA746" t="s">
        <v>71</v>
      </c>
      <c r="AB746">
        <v>2</v>
      </c>
      <c r="AO746" t="str">
        <f t="shared" si="39"/>
        <v>26-40</v>
      </c>
      <c r="BD746">
        <v>4</v>
      </c>
      <c r="BF746" cm="1">
        <f t="array" ref="BF746">CORREL(J746:J1746,S746:S1746)</f>
        <v>-0.0219491288555521</v>
      </c>
      <c r="BH746">
        <v>1</v>
      </c>
      <c r="BI746">
        <f t="shared" si="37"/>
        <v>4</v>
      </c>
      <c r="BJ746">
        <f t="shared" si="38"/>
        <v>0.25</v>
      </c>
    </row>
    <row r="747" spans="1:62">
      <c r="A747" s="1">
        <v>811117832</v>
      </c>
      <c r="B747">
        <v>50</v>
      </c>
      <c r="C747" t="s">
        <v>59</v>
      </c>
      <c r="D747" t="s">
        <v>74</v>
      </c>
      <c r="E747" t="s">
        <v>98</v>
      </c>
      <c r="F747" t="s">
        <v>62</v>
      </c>
      <c r="G747" t="s">
        <v>60</v>
      </c>
      <c r="H747" t="s">
        <v>931</v>
      </c>
      <c r="I747" t="s">
        <v>120</v>
      </c>
      <c r="J747" s="2">
        <v>378.87</v>
      </c>
      <c r="K747">
        <v>2</v>
      </c>
      <c r="L747" t="s">
        <v>85</v>
      </c>
      <c r="M747">
        <v>5</v>
      </c>
      <c r="N747">
        <v>2</v>
      </c>
      <c r="O747">
        <v>2</v>
      </c>
      <c r="P747" t="s">
        <v>66</v>
      </c>
      <c r="Q747" t="s">
        <v>109</v>
      </c>
      <c r="R747">
        <v>2</v>
      </c>
      <c r="S747">
        <v>2</v>
      </c>
      <c r="T747" t="s">
        <v>79</v>
      </c>
      <c r="U747" t="s">
        <v>105</v>
      </c>
      <c r="V747" t="s">
        <v>91</v>
      </c>
      <c r="W747" s="3">
        <v>45459</v>
      </c>
      <c r="X747" t="b">
        <v>1</v>
      </c>
      <c r="Y747" t="b">
        <v>0</v>
      </c>
      <c r="Z747" t="s">
        <v>102</v>
      </c>
      <c r="AA747" t="s">
        <v>71</v>
      </c>
      <c r="AB747">
        <v>9</v>
      </c>
      <c r="AO747" t="str">
        <f t="shared" si="39"/>
        <v>41-60</v>
      </c>
      <c r="BD747">
        <v>2</v>
      </c>
      <c r="BF747" cm="1">
        <f t="array" ref="BF747">CORREL(J747:J1747,S747:S1747)</f>
        <v>-0.0255960284005772</v>
      </c>
      <c r="BH747">
        <v>2</v>
      </c>
      <c r="BI747">
        <f t="shared" si="37"/>
        <v>1</v>
      </c>
      <c r="BJ747">
        <f t="shared" si="38"/>
        <v>2</v>
      </c>
    </row>
    <row r="748" spans="1:62">
      <c r="A748" s="1">
        <v>774018183</v>
      </c>
      <c r="B748">
        <v>30</v>
      </c>
      <c r="C748" t="s">
        <v>59</v>
      </c>
      <c r="D748" t="s">
        <v>74</v>
      </c>
      <c r="E748" t="s">
        <v>103</v>
      </c>
      <c r="F748" t="s">
        <v>75</v>
      </c>
      <c r="G748" t="s">
        <v>74</v>
      </c>
      <c r="H748" t="s">
        <v>932</v>
      </c>
      <c r="I748" t="s">
        <v>135</v>
      </c>
      <c r="J748" s="2">
        <v>349</v>
      </c>
      <c r="K748">
        <v>10</v>
      </c>
      <c r="L748" t="s">
        <v>65</v>
      </c>
      <c r="M748">
        <v>3</v>
      </c>
      <c r="N748">
        <v>5</v>
      </c>
      <c r="O748">
        <v>1</v>
      </c>
      <c r="P748" t="s">
        <v>84</v>
      </c>
      <c r="Q748" t="s">
        <v>80</v>
      </c>
      <c r="R748">
        <v>1</v>
      </c>
      <c r="S748">
        <v>5</v>
      </c>
      <c r="T748" t="s">
        <v>84</v>
      </c>
      <c r="U748" t="s">
        <v>105</v>
      </c>
      <c r="V748" t="s">
        <v>81</v>
      </c>
      <c r="W748" s="3">
        <v>45306</v>
      </c>
      <c r="X748" t="b">
        <v>0</v>
      </c>
      <c r="Y748" t="b">
        <v>1</v>
      </c>
      <c r="Z748" t="s">
        <v>102</v>
      </c>
      <c r="AA748" t="s">
        <v>71</v>
      </c>
      <c r="AB748">
        <v>10</v>
      </c>
      <c r="AO748" t="str">
        <f t="shared" si="39"/>
        <v>26-40</v>
      </c>
      <c r="BD748">
        <v>10</v>
      </c>
      <c r="BF748" cm="1">
        <f t="array" ref="BF748">CORREL(J748:J1748,S748:S1748)</f>
        <v>-0.0221466483204821</v>
      </c>
      <c r="BH748">
        <v>5</v>
      </c>
      <c r="BI748">
        <f t="shared" si="37"/>
        <v>2</v>
      </c>
      <c r="BJ748">
        <f t="shared" si="38"/>
        <v>2.5</v>
      </c>
    </row>
    <row r="749" spans="1:62">
      <c r="A749" s="4" t="s">
        <v>933</v>
      </c>
      <c r="B749">
        <v>38</v>
      </c>
      <c r="C749" t="s">
        <v>73</v>
      </c>
      <c r="D749" t="s">
        <v>60</v>
      </c>
      <c r="E749" t="s">
        <v>61</v>
      </c>
      <c r="F749" t="s">
        <v>62</v>
      </c>
      <c r="G749" t="s">
        <v>60</v>
      </c>
      <c r="H749" t="s">
        <v>934</v>
      </c>
      <c r="I749" t="s">
        <v>124</v>
      </c>
      <c r="J749" s="2">
        <v>330.27</v>
      </c>
      <c r="K749">
        <v>3</v>
      </c>
      <c r="L749" t="s">
        <v>78</v>
      </c>
      <c r="M749">
        <v>3</v>
      </c>
      <c r="N749">
        <v>2</v>
      </c>
      <c r="O749">
        <v>1</v>
      </c>
      <c r="P749" t="s">
        <v>74</v>
      </c>
      <c r="Q749" t="s">
        <v>80</v>
      </c>
      <c r="R749">
        <v>1</v>
      </c>
      <c r="S749">
        <v>9</v>
      </c>
      <c r="T749" t="s">
        <v>74</v>
      </c>
      <c r="U749" t="s">
        <v>90</v>
      </c>
      <c r="V749" t="s">
        <v>96</v>
      </c>
      <c r="W749" s="3">
        <v>45332</v>
      </c>
      <c r="X749" t="b">
        <v>1</v>
      </c>
      <c r="Y749" t="b">
        <v>0</v>
      </c>
      <c r="Z749" t="s">
        <v>92</v>
      </c>
      <c r="AA749" t="s">
        <v>71</v>
      </c>
      <c r="AB749">
        <v>9</v>
      </c>
      <c r="AO749" t="str">
        <f t="shared" si="39"/>
        <v>26-40</v>
      </c>
      <c r="BD749">
        <v>3</v>
      </c>
      <c r="BF749" cm="1">
        <f t="array" ref="BF749">CORREL(J749:J1749,S749:S1749)</f>
        <v>-0.0218947658549513</v>
      </c>
      <c r="BH749">
        <v>9</v>
      </c>
      <c r="BI749">
        <f t="shared" si="37"/>
        <v>0.333333333333333</v>
      </c>
      <c r="BJ749">
        <f t="shared" si="38"/>
        <v>27</v>
      </c>
    </row>
    <row r="750" spans="1:62">
      <c r="A750" s="1">
        <v>111210709</v>
      </c>
      <c r="B750">
        <v>42</v>
      </c>
      <c r="C750" t="s">
        <v>73</v>
      </c>
      <c r="D750" t="s">
        <v>60</v>
      </c>
      <c r="E750" t="s">
        <v>61</v>
      </c>
      <c r="F750" t="s">
        <v>87</v>
      </c>
      <c r="G750" t="s">
        <v>60</v>
      </c>
      <c r="H750" t="s">
        <v>935</v>
      </c>
      <c r="I750" t="s">
        <v>147</v>
      </c>
      <c r="J750" s="2">
        <v>410.29</v>
      </c>
      <c r="K750">
        <v>10</v>
      </c>
      <c r="L750" t="s">
        <v>85</v>
      </c>
      <c r="M750">
        <v>2</v>
      </c>
      <c r="N750">
        <v>4</v>
      </c>
      <c r="O750">
        <v>1</v>
      </c>
      <c r="P750" t="s">
        <v>84</v>
      </c>
      <c r="Q750" t="s">
        <v>80</v>
      </c>
      <c r="R750">
        <v>2</v>
      </c>
      <c r="S750">
        <v>4</v>
      </c>
      <c r="T750" t="s">
        <v>74</v>
      </c>
      <c r="U750" t="s">
        <v>90</v>
      </c>
      <c r="V750" t="s">
        <v>69</v>
      </c>
      <c r="W750" s="3">
        <v>45537</v>
      </c>
      <c r="X750" t="b">
        <v>1</v>
      </c>
      <c r="Y750" t="b">
        <v>0</v>
      </c>
      <c r="Z750" t="s">
        <v>102</v>
      </c>
      <c r="AA750" t="s">
        <v>97</v>
      </c>
      <c r="AB750">
        <v>1</v>
      </c>
      <c r="AO750" t="str">
        <f t="shared" si="39"/>
        <v>41-60</v>
      </c>
      <c r="BD750">
        <v>10</v>
      </c>
      <c r="BF750" cm="1">
        <f t="array" ref="BF750">CORREL(J750:J1750,S750:S1750)</f>
        <v>-0.0239325221376802</v>
      </c>
      <c r="BH750">
        <v>4</v>
      </c>
      <c r="BI750">
        <f t="shared" si="37"/>
        <v>2.5</v>
      </c>
      <c r="BJ750">
        <f t="shared" si="38"/>
        <v>1.6</v>
      </c>
    </row>
    <row r="751" spans="1:62">
      <c r="A751" s="1">
        <v>366490081</v>
      </c>
      <c r="B751">
        <v>24</v>
      </c>
      <c r="C751" t="s">
        <v>59</v>
      </c>
      <c r="D751" t="s">
        <v>74</v>
      </c>
      <c r="E751" t="s">
        <v>103</v>
      </c>
      <c r="F751" t="s">
        <v>87</v>
      </c>
      <c r="G751" t="s">
        <v>60</v>
      </c>
      <c r="H751" t="s">
        <v>936</v>
      </c>
      <c r="I751" t="s">
        <v>124</v>
      </c>
      <c r="J751" s="2">
        <v>400.86</v>
      </c>
      <c r="K751">
        <v>7</v>
      </c>
      <c r="L751" t="s">
        <v>85</v>
      </c>
      <c r="M751">
        <v>3</v>
      </c>
      <c r="N751">
        <v>3</v>
      </c>
      <c r="O751">
        <v>1</v>
      </c>
      <c r="P751" t="s">
        <v>74</v>
      </c>
      <c r="Q751" t="s">
        <v>109</v>
      </c>
      <c r="R751">
        <v>1</v>
      </c>
      <c r="S751">
        <v>7</v>
      </c>
      <c r="T751" t="s">
        <v>84</v>
      </c>
      <c r="U751" t="s">
        <v>90</v>
      </c>
      <c r="V751" t="s">
        <v>69</v>
      </c>
      <c r="W751" s="3">
        <v>45547</v>
      </c>
      <c r="X751" t="b">
        <v>1</v>
      </c>
      <c r="Y751" t="b">
        <v>0</v>
      </c>
      <c r="Z751" t="s">
        <v>102</v>
      </c>
      <c r="AA751" t="s">
        <v>71</v>
      </c>
      <c r="AB751">
        <v>5</v>
      </c>
      <c r="AO751" t="str">
        <f t="shared" si="39"/>
        <v>18-25</v>
      </c>
      <c r="BD751">
        <v>7</v>
      </c>
      <c r="BF751" cm="1">
        <f t="array" ref="BF751">CORREL(J751:J1751,S751:S1751)</f>
        <v>-0.0220748745403186</v>
      </c>
      <c r="BH751">
        <v>7</v>
      </c>
      <c r="BI751">
        <f t="shared" si="37"/>
        <v>1</v>
      </c>
      <c r="BJ751">
        <f t="shared" si="38"/>
        <v>7</v>
      </c>
    </row>
    <row r="752" spans="1:62">
      <c r="A752" s="1">
        <v>611768712</v>
      </c>
      <c r="B752">
        <v>27</v>
      </c>
      <c r="C752" t="s">
        <v>59</v>
      </c>
      <c r="D752" t="s">
        <v>74</v>
      </c>
      <c r="E752" t="s">
        <v>61</v>
      </c>
      <c r="F752" t="s">
        <v>87</v>
      </c>
      <c r="G752" t="s">
        <v>60</v>
      </c>
      <c r="H752" t="s">
        <v>937</v>
      </c>
      <c r="I752" t="s">
        <v>174</v>
      </c>
      <c r="J752" s="2">
        <v>225.12</v>
      </c>
      <c r="K752">
        <v>11</v>
      </c>
      <c r="L752" t="s">
        <v>78</v>
      </c>
      <c r="M752">
        <v>3</v>
      </c>
      <c r="N752">
        <v>2</v>
      </c>
      <c r="O752">
        <v>1</v>
      </c>
      <c r="P752" t="s">
        <v>79</v>
      </c>
      <c r="Q752" t="s">
        <v>67</v>
      </c>
      <c r="R752">
        <v>0</v>
      </c>
      <c r="S752">
        <v>1</v>
      </c>
      <c r="T752" t="s">
        <v>66</v>
      </c>
      <c r="U752" t="s">
        <v>105</v>
      </c>
      <c r="V752" t="s">
        <v>110</v>
      </c>
      <c r="W752" s="3">
        <v>45535</v>
      </c>
      <c r="X752" t="b">
        <v>1</v>
      </c>
      <c r="Y752" t="b">
        <v>0</v>
      </c>
      <c r="Z752" t="s">
        <v>102</v>
      </c>
      <c r="AA752" t="s">
        <v>97</v>
      </c>
      <c r="AB752">
        <v>6</v>
      </c>
      <c r="AO752" t="str">
        <f t="shared" si="39"/>
        <v>26-40</v>
      </c>
      <c r="BD752">
        <v>11</v>
      </c>
      <c r="BF752" cm="1">
        <f t="array" ref="BF752">CORREL(J752:J1752,S752:S1752)</f>
        <v>-0.0243211282505359</v>
      </c>
      <c r="BH752">
        <v>1</v>
      </c>
      <c r="BI752">
        <f t="shared" si="37"/>
        <v>11</v>
      </c>
      <c r="BJ752">
        <f t="shared" si="38"/>
        <v>0.0909090909090909</v>
      </c>
    </row>
    <row r="753" spans="1:62">
      <c r="A753" s="1">
        <v>755262611</v>
      </c>
      <c r="B753">
        <v>36</v>
      </c>
      <c r="C753" t="s">
        <v>59</v>
      </c>
      <c r="D753" t="s">
        <v>74</v>
      </c>
      <c r="E753" t="s">
        <v>98</v>
      </c>
      <c r="F753" t="s">
        <v>87</v>
      </c>
      <c r="G753" t="s">
        <v>74</v>
      </c>
      <c r="H753" t="s">
        <v>938</v>
      </c>
      <c r="I753" t="s">
        <v>174</v>
      </c>
      <c r="J753" s="2">
        <v>273.48</v>
      </c>
      <c r="K753">
        <v>12</v>
      </c>
      <c r="L753" t="s">
        <v>85</v>
      </c>
      <c r="M753">
        <v>5</v>
      </c>
      <c r="N753">
        <v>3</v>
      </c>
      <c r="O753">
        <v>2</v>
      </c>
      <c r="P753" t="s">
        <v>84</v>
      </c>
      <c r="Q753" t="s">
        <v>109</v>
      </c>
      <c r="R753">
        <v>0</v>
      </c>
      <c r="S753">
        <v>5</v>
      </c>
      <c r="T753" t="s">
        <v>79</v>
      </c>
      <c r="U753" t="s">
        <v>90</v>
      </c>
      <c r="V753" t="s">
        <v>96</v>
      </c>
      <c r="W753" s="3">
        <v>45313</v>
      </c>
      <c r="X753" t="b">
        <v>1</v>
      </c>
      <c r="Y753" t="b">
        <v>0</v>
      </c>
      <c r="Z753" t="s">
        <v>82</v>
      </c>
      <c r="AA753" t="s">
        <v>97</v>
      </c>
      <c r="AB753">
        <v>5</v>
      </c>
      <c r="AO753" t="str">
        <f t="shared" si="39"/>
        <v>26-40</v>
      </c>
      <c r="BD753">
        <v>12</v>
      </c>
      <c r="BF753" cm="1">
        <f t="array" ref="BF753">CORREL(J753:J1753,S753:S1753)</f>
        <v>-0.0271108185897598</v>
      </c>
      <c r="BH753">
        <v>5</v>
      </c>
      <c r="BI753">
        <f t="shared" si="37"/>
        <v>2.4</v>
      </c>
      <c r="BJ753">
        <f t="shared" si="38"/>
        <v>2.08333333333333</v>
      </c>
    </row>
    <row r="754" spans="1:62">
      <c r="A754" s="1">
        <v>723391854</v>
      </c>
      <c r="B754">
        <v>19</v>
      </c>
      <c r="C754" t="s">
        <v>111</v>
      </c>
      <c r="D754" t="s">
        <v>74</v>
      </c>
      <c r="E754" t="s">
        <v>86</v>
      </c>
      <c r="F754" t="s">
        <v>87</v>
      </c>
      <c r="G754" t="s">
        <v>60</v>
      </c>
      <c r="H754" t="s">
        <v>939</v>
      </c>
      <c r="I754" t="s">
        <v>100</v>
      </c>
      <c r="J754" s="2">
        <v>363.84</v>
      </c>
      <c r="K754">
        <v>11</v>
      </c>
      <c r="L754" t="s">
        <v>85</v>
      </c>
      <c r="M754">
        <v>3</v>
      </c>
      <c r="N754">
        <v>2</v>
      </c>
      <c r="O754">
        <v>1</v>
      </c>
      <c r="P754" t="s">
        <v>84</v>
      </c>
      <c r="Q754" t="s">
        <v>80</v>
      </c>
      <c r="R754">
        <v>0</v>
      </c>
      <c r="S754">
        <v>3</v>
      </c>
      <c r="T754" t="s">
        <v>79</v>
      </c>
      <c r="U754" t="s">
        <v>105</v>
      </c>
      <c r="V754" t="s">
        <v>110</v>
      </c>
      <c r="W754" s="3">
        <v>45534</v>
      </c>
      <c r="X754" t="b">
        <v>1</v>
      </c>
      <c r="Y754" t="b">
        <v>0</v>
      </c>
      <c r="Z754" t="s">
        <v>92</v>
      </c>
      <c r="AA754" t="s">
        <v>97</v>
      </c>
      <c r="AB754">
        <v>5</v>
      </c>
      <c r="AO754" t="str">
        <f t="shared" si="39"/>
        <v>18-25</v>
      </c>
      <c r="BD754">
        <v>11</v>
      </c>
      <c r="BF754" cm="1">
        <f t="array" ref="BF754">CORREL(J754:J1754,S754:S1754)</f>
        <v>-0.0271399367685016</v>
      </c>
      <c r="BH754">
        <v>3</v>
      </c>
      <c r="BI754">
        <f t="shared" si="37"/>
        <v>3.66666666666667</v>
      </c>
      <c r="BJ754">
        <f t="shared" si="38"/>
        <v>0.818181818181818</v>
      </c>
    </row>
    <row r="755" spans="1:62">
      <c r="A755" s="1">
        <v>803606324</v>
      </c>
      <c r="B755">
        <v>24</v>
      </c>
      <c r="C755" t="s">
        <v>59</v>
      </c>
      <c r="D755" t="s">
        <v>74</v>
      </c>
      <c r="E755" t="s">
        <v>86</v>
      </c>
      <c r="F755" t="s">
        <v>62</v>
      </c>
      <c r="G755" t="s">
        <v>60</v>
      </c>
      <c r="H755" t="s">
        <v>940</v>
      </c>
      <c r="I755" t="s">
        <v>129</v>
      </c>
      <c r="J755" s="2">
        <v>302.6</v>
      </c>
      <c r="K755">
        <v>9</v>
      </c>
      <c r="L755" t="s">
        <v>85</v>
      </c>
      <c r="M755">
        <v>1</v>
      </c>
      <c r="N755">
        <v>4</v>
      </c>
      <c r="O755">
        <v>2</v>
      </c>
      <c r="P755" t="s">
        <v>79</v>
      </c>
      <c r="Q755" t="s">
        <v>109</v>
      </c>
      <c r="R755">
        <v>2</v>
      </c>
      <c r="S755">
        <v>10</v>
      </c>
      <c r="T755" t="s">
        <v>66</v>
      </c>
      <c r="U755" t="s">
        <v>105</v>
      </c>
      <c r="V755" t="s">
        <v>91</v>
      </c>
      <c r="W755" s="3">
        <v>45496</v>
      </c>
      <c r="X755" t="b">
        <v>0</v>
      </c>
      <c r="Y755" t="b">
        <v>1</v>
      </c>
      <c r="Z755" t="s">
        <v>92</v>
      </c>
      <c r="AA755" t="s">
        <v>83</v>
      </c>
      <c r="AB755">
        <v>2</v>
      </c>
      <c r="AO755" t="str">
        <f t="shared" si="39"/>
        <v>18-25</v>
      </c>
      <c r="BD755">
        <v>9</v>
      </c>
      <c r="BF755" cm="1">
        <f t="array" ref="BF755">CORREL(J755:J1755,S755:S1755)</f>
        <v>-0.0250058595153897</v>
      </c>
      <c r="BH755">
        <v>10</v>
      </c>
      <c r="BI755">
        <f t="shared" si="37"/>
        <v>0.9</v>
      </c>
      <c r="BJ755">
        <f t="shared" si="38"/>
        <v>11.1111111111111</v>
      </c>
    </row>
    <row r="756" spans="1:62">
      <c r="A756" s="1">
        <v>245914327</v>
      </c>
      <c r="B756">
        <v>35</v>
      </c>
      <c r="C756" t="s">
        <v>73</v>
      </c>
      <c r="D756" t="s">
        <v>74</v>
      </c>
      <c r="E756" t="s">
        <v>103</v>
      </c>
      <c r="F756" t="s">
        <v>75</v>
      </c>
      <c r="G756" t="s">
        <v>74</v>
      </c>
      <c r="H756" t="s">
        <v>941</v>
      </c>
      <c r="I756" t="s">
        <v>120</v>
      </c>
      <c r="J756" s="2">
        <v>317.09</v>
      </c>
      <c r="K756">
        <v>6</v>
      </c>
      <c r="L756" t="s">
        <v>85</v>
      </c>
      <c r="M756">
        <v>1</v>
      </c>
      <c r="N756">
        <v>1</v>
      </c>
      <c r="O756">
        <v>1</v>
      </c>
      <c r="P756" t="s">
        <v>74</v>
      </c>
      <c r="Q756" t="s">
        <v>80</v>
      </c>
      <c r="R756">
        <v>2</v>
      </c>
      <c r="S756">
        <v>2</v>
      </c>
      <c r="T756" t="s">
        <v>74</v>
      </c>
      <c r="U756" t="s">
        <v>105</v>
      </c>
      <c r="V756" t="s">
        <v>96</v>
      </c>
      <c r="W756" s="3">
        <v>45393</v>
      </c>
      <c r="X756" t="b">
        <v>1</v>
      </c>
      <c r="Y756" t="b">
        <v>0</v>
      </c>
      <c r="Z756" t="s">
        <v>92</v>
      </c>
      <c r="AA756" t="s">
        <v>83</v>
      </c>
      <c r="AB756">
        <v>4</v>
      </c>
      <c r="AO756" t="str">
        <f t="shared" si="39"/>
        <v>26-40</v>
      </c>
      <c r="BD756">
        <v>6</v>
      </c>
      <c r="BF756" cm="1">
        <f t="array" ref="BF756">CORREL(J756:J1756,S756:S1756)</f>
        <v>-0.0263116284862412</v>
      </c>
      <c r="BH756">
        <v>2</v>
      </c>
      <c r="BI756">
        <f t="shared" si="37"/>
        <v>3</v>
      </c>
      <c r="BJ756">
        <f t="shared" si="38"/>
        <v>0.666666666666667</v>
      </c>
    </row>
    <row r="757" spans="1:62">
      <c r="A757" s="1">
        <v>584878848</v>
      </c>
      <c r="B757">
        <v>38</v>
      </c>
      <c r="C757" t="s">
        <v>59</v>
      </c>
      <c r="D757" t="s">
        <v>74</v>
      </c>
      <c r="E757" t="s">
        <v>61</v>
      </c>
      <c r="F757" t="s">
        <v>75</v>
      </c>
      <c r="G757" t="s">
        <v>74</v>
      </c>
      <c r="H757" t="s">
        <v>942</v>
      </c>
      <c r="I757" t="s">
        <v>174</v>
      </c>
      <c r="J757" s="2">
        <v>193.32</v>
      </c>
      <c r="K757">
        <v>9</v>
      </c>
      <c r="L757" t="s">
        <v>65</v>
      </c>
      <c r="M757">
        <v>4</v>
      </c>
      <c r="N757">
        <v>3</v>
      </c>
      <c r="O757">
        <v>0</v>
      </c>
      <c r="P757" t="s">
        <v>66</v>
      </c>
      <c r="Q757" t="s">
        <v>109</v>
      </c>
      <c r="R757">
        <v>0</v>
      </c>
      <c r="S757">
        <v>8</v>
      </c>
      <c r="T757" t="s">
        <v>74</v>
      </c>
      <c r="U757" t="s">
        <v>68</v>
      </c>
      <c r="V757" t="s">
        <v>81</v>
      </c>
      <c r="W757" s="3">
        <v>45484</v>
      </c>
      <c r="X757" t="b">
        <v>0</v>
      </c>
      <c r="Y757" t="b">
        <v>1</v>
      </c>
      <c r="Z757" t="s">
        <v>82</v>
      </c>
      <c r="AA757" t="s">
        <v>97</v>
      </c>
      <c r="AB757">
        <v>6</v>
      </c>
      <c r="AO757" t="str">
        <f t="shared" si="39"/>
        <v>26-40</v>
      </c>
      <c r="BD757">
        <v>9</v>
      </c>
      <c r="BF757" cm="1">
        <f t="array" ref="BF757">CORREL(J757:J1757,S757:S1757)</f>
        <v>-0.0249966756307892</v>
      </c>
      <c r="BH757">
        <v>8</v>
      </c>
      <c r="BI757">
        <f t="shared" si="37"/>
        <v>1.125</v>
      </c>
      <c r="BJ757">
        <f t="shared" si="38"/>
        <v>7.11111111111111</v>
      </c>
    </row>
    <row r="758" spans="1:62">
      <c r="A758" s="1">
        <v>614533503</v>
      </c>
      <c r="B758">
        <v>34</v>
      </c>
      <c r="C758" t="s">
        <v>73</v>
      </c>
      <c r="D758" t="s">
        <v>74</v>
      </c>
      <c r="E758" t="s">
        <v>98</v>
      </c>
      <c r="F758" t="s">
        <v>75</v>
      </c>
      <c r="G758" t="s">
        <v>74</v>
      </c>
      <c r="H758" t="s">
        <v>943</v>
      </c>
      <c r="I758" t="s">
        <v>133</v>
      </c>
      <c r="J758" s="2">
        <v>282.24</v>
      </c>
      <c r="K758">
        <v>6</v>
      </c>
      <c r="L758" t="s">
        <v>85</v>
      </c>
      <c r="M758">
        <v>2</v>
      </c>
      <c r="N758">
        <v>3</v>
      </c>
      <c r="O758">
        <v>2</v>
      </c>
      <c r="P758" t="s">
        <v>66</v>
      </c>
      <c r="Q758" t="s">
        <v>80</v>
      </c>
      <c r="R758">
        <v>1</v>
      </c>
      <c r="S758">
        <v>7</v>
      </c>
      <c r="T758" t="s">
        <v>79</v>
      </c>
      <c r="U758" t="s">
        <v>105</v>
      </c>
      <c r="V758" t="s">
        <v>69</v>
      </c>
      <c r="W758" s="3">
        <v>45551</v>
      </c>
      <c r="X758" t="b">
        <v>1</v>
      </c>
      <c r="Y758" t="b">
        <v>1</v>
      </c>
      <c r="Z758" t="s">
        <v>70</v>
      </c>
      <c r="AA758" t="s">
        <v>71</v>
      </c>
      <c r="AB758">
        <v>1</v>
      </c>
      <c r="AO758" t="str">
        <f t="shared" si="39"/>
        <v>26-40</v>
      </c>
      <c r="BD758">
        <v>6</v>
      </c>
      <c r="BF758" cm="1">
        <f t="array" ref="BF758">CORREL(J758:J1758,S758:S1758)</f>
        <v>-0.022494184473922</v>
      </c>
      <c r="BH758">
        <v>7</v>
      </c>
      <c r="BI758">
        <f t="shared" si="37"/>
        <v>0.857142857142857</v>
      </c>
      <c r="BJ758">
        <f t="shared" si="38"/>
        <v>8.16666666666667</v>
      </c>
    </row>
    <row r="759" spans="1:62">
      <c r="A759" s="1">
        <v>636807694</v>
      </c>
      <c r="B759">
        <v>29</v>
      </c>
      <c r="C759" t="s">
        <v>59</v>
      </c>
      <c r="D759" t="s">
        <v>74</v>
      </c>
      <c r="E759" t="s">
        <v>103</v>
      </c>
      <c r="F759" t="s">
        <v>87</v>
      </c>
      <c r="G759" t="s">
        <v>60</v>
      </c>
      <c r="H759" t="s">
        <v>944</v>
      </c>
      <c r="I759" t="s">
        <v>124</v>
      </c>
      <c r="J759" s="2">
        <v>154.19</v>
      </c>
      <c r="K759">
        <v>6</v>
      </c>
      <c r="L759" t="s">
        <v>85</v>
      </c>
      <c r="M759">
        <v>5</v>
      </c>
      <c r="N759">
        <v>4</v>
      </c>
      <c r="O759">
        <v>1</v>
      </c>
      <c r="P759" t="s">
        <v>79</v>
      </c>
      <c r="Q759" t="s">
        <v>109</v>
      </c>
      <c r="R759">
        <v>2</v>
      </c>
      <c r="S759">
        <v>1</v>
      </c>
      <c r="T759" t="s">
        <v>66</v>
      </c>
      <c r="U759" t="s">
        <v>68</v>
      </c>
      <c r="V759" t="s">
        <v>81</v>
      </c>
      <c r="W759" s="3">
        <v>45557</v>
      </c>
      <c r="X759" t="b">
        <v>1</v>
      </c>
      <c r="Y759" t="b">
        <v>1</v>
      </c>
      <c r="Z759" t="s">
        <v>70</v>
      </c>
      <c r="AA759" t="s">
        <v>71</v>
      </c>
      <c r="AB759">
        <v>1</v>
      </c>
      <c r="AO759" t="str">
        <f t="shared" si="39"/>
        <v>26-40</v>
      </c>
      <c r="BD759">
        <v>6</v>
      </c>
      <c r="BF759" cm="1">
        <f t="array" ref="BF759">CORREL(J759:J1759,S759:S1759)</f>
        <v>-0.0225469504290349</v>
      </c>
      <c r="BH759">
        <v>1</v>
      </c>
      <c r="BI759">
        <f t="shared" si="37"/>
        <v>6</v>
      </c>
      <c r="BJ759">
        <f t="shared" si="38"/>
        <v>0.166666666666667</v>
      </c>
    </row>
    <row r="760" spans="1:62">
      <c r="A760" s="1">
        <v>514317150</v>
      </c>
      <c r="B760">
        <v>41</v>
      </c>
      <c r="C760" t="s">
        <v>59</v>
      </c>
      <c r="D760" t="s">
        <v>60</v>
      </c>
      <c r="E760" t="s">
        <v>98</v>
      </c>
      <c r="F760" t="s">
        <v>62</v>
      </c>
      <c r="G760" t="s">
        <v>60</v>
      </c>
      <c r="H760" t="s">
        <v>945</v>
      </c>
      <c r="I760" t="s">
        <v>100</v>
      </c>
      <c r="J760" s="2">
        <v>84.15</v>
      </c>
      <c r="K760">
        <v>10</v>
      </c>
      <c r="L760" t="s">
        <v>78</v>
      </c>
      <c r="M760">
        <v>1</v>
      </c>
      <c r="N760">
        <v>3</v>
      </c>
      <c r="O760">
        <v>1</v>
      </c>
      <c r="P760" t="s">
        <v>74</v>
      </c>
      <c r="Q760" t="s">
        <v>80</v>
      </c>
      <c r="R760">
        <v>2</v>
      </c>
      <c r="S760">
        <v>1</v>
      </c>
      <c r="T760" t="s">
        <v>74</v>
      </c>
      <c r="U760" t="s">
        <v>105</v>
      </c>
      <c r="V760" t="s">
        <v>81</v>
      </c>
      <c r="W760" s="3">
        <v>45599</v>
      </c>
      <c r="X760" t="b">
        <v>1</v>
      </c>
      <c r="Y760" t="b">
        <v>1</v>
      </c>
      <c r="Z760" t="s">
        <v>92</v>
      </c>
      <c r="AA760" t="s">
        <v>83</v>
      </c>
      <c r="AB760">
        <v>1</v>
      </c>
      <c r="AO760" t="str">
        <f t="shared" si="39"/>
        <v>41-60</v>
      </c>
      <c r="BD760">
        <v>10</v>
      </c>
      <c r="BF760" cm="1">
        <f t="array" ref="BF760">CORREL(J760:J1760,S760:S1760)</f>
        <v>-0.0289356982233832</v>
      </c>
      <c r="BH760">
        <v>1</v>
      </c>
      <c r="BI760">
        <f t="shared" si="37"/>
        <v>10</v>
      </c>
      <c r="BJ760">
        <f t="shared" si="38"/>
        <v>0.1</v>
      </c>
    </row>
    <row r="761" spans="1:62">
      <c r="A761" s="1">
        <v>230399347</v>
      </c>
      <c r="B761">
        <v>41</v>
      </c>
      <c r="C761" t="s">
        <v>73</v>
      </c>
      <c r="D761" t="s">
        <v>60</v>
      </c>
      <c r="E761" t="s">
        <v>103</v>
      </c>
      <c r="F761" t="s">
        <v>75</v>
      </c>
      <c r="G761" t="s">
        <v>74</v>
      </c>
      <c r="H761" t="s">
        <v>946</v>
      </c>
      <c r="I761" t="s">
        <v>147</v>
      </c>
      <c r="J761" s="2">
        <v>214.69</v>
      </c>
      <c r="K761">
        <v>7</v>
      </c>
      <c r="L761" t="s">
        <v>78</v>
      </c>
      <c r="M761">
        <v>4</v>
      </c>
      <c r="N761">
        <v>4</v>
      </c>
      <c r="O761">
        <v>0</v>
      </c>
      <c r="P761" t="s">
        <v>79</v>
      </c>
      <c r="Q761" t="s">
        <v>80</v>
      </c>
      <c r="R761">
        <v>1</v>
      </c>
      <c r="S761">
        <v>7</v>
      </c>
      <c r="T761" t="s">
        <v>66</v>
      </c>
      <c r="U761" t="s">
        <v>68</v>
      </c>
      <c r="V761" t="s">
        <v>69</v>
      </c>
      <c r="W761" s="3">
        <v>45427</v>
      </c>
      <c r="X761" t="b">
        <v>1</v>
      </c>
      <c r="Y761" t="b">
        <v>1</v>
      </c>
      <c r="Z761" t="s">
        <v>82</v>
      </c>
      <c r="AA761" t="s">
        <v>83</v>
      </c>
      <c r="AB761">
        <v>9</v>
      </c>
      <c r="AO761" t="str">
        <f t="shared" si="39"/>
        <v>41-60</v>
      </c>
      <c r="BD761">
        <v>7</v>
      </c>
      <c r="BF761" cm="1">
        <f t="array" ref="BF761">CORREL(J761:J1761,S761:S1761)</f>
        <v>-0.0390776611284457</v>
      </c>
      <c r="BH761">
        <v>7</v>
      </c>
      <c r="BI761">
        <f t="shared" si="37"/>
        <v>1</v>
      </c>
      <c r="BJ761">
        <f t="shared" si="38"/>
        <v>7</v>
      </c>
    </row>
    <row r="762" spans="1:62">
      <c r="A762" s="1">
        <v>188326916</v>
      </c>
      <c r="B762">
        <v>32</v>
      </c>
      <c r="C762" t="s">
        <v>73</v>
      </c>
      <c r="D762" t="s">
        <v>74</v>
      </c>
      <c r="E762" t="s">
        <v>61</v>
      </c>
      <c r="F762" t="s">
        <v>62</v>
      </c>
      <c r="G762" t="s">
        <v>74</v>
      </c>
      <c r="H762" t="s">
        <v>947</v>
      </c>
      <c r="I762" t="s">
        <v>120</v>
      </c>
      <c r="J762" s="2">
        <v>61.21</v>
      </c>
      <c r="K762">
        <v>12</v>
      </c>
      <c r="L762" t="s">
        <v>65</v>
      </c>
      <c r="M762">
        <v>5</v>
      </c>
      <c r="N762">
        <v>5</v>
      </c>
      <c r="O762">
        <v>0</v>
      </c>
      <c r="P762" t="s">
        <v>66</v>
      </c>
      <c r="Q762" t="s">
        <v>80</v>
      </c>
      <c r="R762">
        <v>0</v>
      </c>
      <c r="S762">
        <v>5</v>
      </c>
      <c r="T762" t="s">
        <v>84</v>
      </c>
      <c r="U762" t="s">
        <v>90</v>
      </c>
      <c r="V762" t="s">
        <v>69</v>
      </c>
      <c r="W762" s="3">
        <v>45620</v>
      </c>
      <c r="X762" t="b">
        <v>1</v>
      </c>
      <c r="Y762" t="b">
        <v>0</v>
      </c>
      <c r="Z762" t="s">
        <v>102</v>
      </c>
      <c r="AA762" t="s">
        <v>83</v>
      </c>
      <c r="AB762">
        <v>13</v>
      </c>
      <c r="AO762" t="str">
        <f t="shared" si="39"/>
        <v>26-40</v>
      </c>
      <c r="BD762">
        <v>12</v>
      </c>
      <c r="BF762" cm="1">
        <f t="array" ref="BF762">CORREL(J762:J1762,S762:S1762)</f>
        <v>-0.0378856501450793</v>
      </c>
      <c r="BH762">
        <v>5</v>
      </c>
      <c r="BI762">
        <f t="shared" si="37"/>
        <v>2.4</v>
      </c>
      <c r="BJ762">
        <f t="shared" si="38"/>
        <v>2.08333333333333</v>
      </c>
    </row>
    <row r="763" spans="1:62">
      <c r="A763" s="1">
        <v>294388126</v>
      </c>
      <c r="B763">
        <v>36</v>
      </c>
      <c r="C763" t="s">
        <v>59</v>
      </c>
      <c r="D763" t="s">
        <v>60</v>
      </c>
      <c r="E763" t="s">
        <v>86</v>
      </c>
      <c r="F763" t="s">
        <v>75</v>
      </c>
      <c r="G763" t="s">
        <v>74</v>
      </c>
      <c r="H763" t="s">
        <v>948</v>
      </c>
      <c r="I763" t="s">
        <v>129</v>
      </c>
      <c r="J763" s="2">
        <v>462.48</v>
      </c>
      <c r="K763">
        <v>11</v>
      </c>
      <c r="L763" t="s">
        <v>85</v>
      </c>
      <c r="M763">
        <v>1</v>
      </c>
      <c r="N763">
        <v>3</v>
      </c>
      <c r="O763">
        <v>0</v>
      </c>
      <c r="P763" t="s">
        <v>79</v>
      </c>
      <c r="Q763" t="s">
        <v>109</v>
      </c>
      <c r="R763">
        <v>2</v>
      </c>
      <c r="S763">
        <v>2</v>
      </c>
      <c r="T763" t="s">
        <v>84</v>
      </c>
      <c r="U763" t="s">
        <v>90</v>
      </c>
      <c r="V763" t="s">
        <v>91</v>
      </c>
      <c r="W763" s="3">
        <v>45382</v>
      </c>
      <c r="X763" t="b">
        <v>0</v>
      </c>
      <c r="Y763" t="b">
        <v>0</v>
      </c>
      <c r="Z763" t="s">
        <v>102</v>
      </c>
      <c r="AA763" t="s">
        <v>97</v>
      </c>
      <c r="AB763">
        <v>12</v>
      </c>
      <c r="AO763" t="str">
        <f t="shared" si="39"/>
        <v>26-40</v>
      </c>
      <c r="BD763">
        <v>11</v>
      </c>
      <c r="BF763" cm="1">
        <f t="array" ref="BF763">CORREL(J763:J1763,S763:S1763)</f>
        <v>-0.0390823747675804</v>
      </c>
      <c r="BH763">
        <v>2</v>
      </c>
      <c r="BI763">
        <f t="shared" si="37"/>
        <v>5.5</v>
      </c>
      <c r="BJ763">
        <f t="shared" si="38"/>
        <v>0.363636363636364</v>
      </c>
    </row>
    <row r="764" spans="1:62">
      <c r="A764" s="1">
        <v>682011633</v>
      </c>
      <c r="B764">
        <v>33</v>
      </c>
      <c r="C764" t="s">
        <v>73</v>
      </c>
      <c r="D764" t="s">
        <v>60</v>
      </c>
      <c r="E764" t="s">
        <v>61</v>
      </c>
      <c r="F764" t="s">
        <v>62</v>
      </c>
      <c r="G764" t="s">
        <v>74</v>
      </c>
      <c r="H764" t="s">
        <v>949</v>
      </c>
      <c r="I764" t="s">
        <v>133</v>
      </c>
      <c r="J764" s="2">
        <v>449.18</v>
      </c>
      <c r="K764">
        <v>3</v>
      </c>
      <c r="L764" t="s">
        <v>65</v>
      </c>
      <c r="M764">
        <v>5</v>
      </c>
      <c r="N764">
        <v>3</v>
      </c>
      <c r="O764">
        <v>2</v>
      </c>
      <c r="P764" t="s">
        <v>79</v>
      </c>
      <c r="Q764" t="s">
        <v>67</v>
      </c>
      <c r="R764">
        <v>0</v>
      </c>
      <c r="S764">
        <v>8</v>
      </c>
      <c r="T764" t="s">
        <v>74</v>
      </c>
      <c r="U764" t="s">
        <v>68</v>
      </c>
      <c r="V764" t="s">
        <v>69</v>
      </c>
      <c r="W764" s="3">
        <v>45372</v>
      </c>
      <c r="X764" t="b">
        <v>1</v>
      </c>
      <c r="Y764" t="b">
        <v>1</v>
      </c>
      <c r="Z764" t="s">
        <v>82</v>
      </c>
      <c r="AA764" t="s">
        <v>83</v>
      </c>
      <c r="AB764">
        <v>10</v>
      </c>
      <c r="AO764" t="str">
        <f t="shared" si="39"/>
        <v>26-40</v>
      </c>
      <c r="BD764">
        <v>3</v>
      </c>
      <c r="BF764" cm="1">
        <f t="array" ref="BF764">CORREL(J764:J1764,S764:S1764)</f>
        <v>-0.0322875647008585</v>
      </c>
      <c r="BH764">
        <v>8</v>
      </c>
      <c r="BI764">
        <f t="shared" si="37"/>
        <v>0.375</v>
      </c>
      <c r="BJ764">
        <f t="shared" si="38"/>
        <v>21.3333333333333</v>
      </c>
    </row>
    <row r="765" spans="1:62">
      <c r="A765" s="4" t="s">
        <v>950</v>
      </c>
      <c r="B765">
        <v>25</v>
      </c>
      <c r="C765" t="s">
        <v>59</v>
      </c>
      <c r="D765" t="s">
        <v>60</v>
      </c>
      <c r="E765" t="s">
        <v>61</v>
      </c>
      <c r="F765" t="s">
        <v>87</v>
      </c>
      <c r="G765" t="s">
        <v>60</v>
      </c>
      <c r="H765" t="s">
        <v>951</v>
      </c>
      <c r="I765" t="s">
        <v>115</v>
      </c>
      <c r="J765" s="2">
        <v>314.36</v>
      </c>
      <c r="K765">
        <v>7</v>
      </c>
      <c r="L765" t="s">
        <v>78</v>
      </c>
      <c r="M765">
        <v>3</v>
      </c>
      <c r="N765">
        <v>5</v>
      </c>
      <c r="O765">
        <v>2</v>
      </c>
      <c r="P765" t="s">
        <v>79</v>
      </c>
      <c r="Q765" t="s">
        <v>109</v>
      </c>
      <c r="R765">
        <v>1</v>
      </c>
      <c r="S765">
        <v>4</v>
      </c>
      <c r="T765" t="s">
        <v>66</v>
      </c>
      <c r="U765" t="s">
        <v>105</v>
      </c>
      <c r="V765" t="s">
        <v>110</v>
      </c>
      <c r="W765" s="3">
        <v>45476</v>
      </c>
      <c r="X765" t="b">
        <v>1</v>
      </c>
      <c r="Y765" t="b">
        <v>0</v>
      </c>
      <c r="Z765" t="s">
        <v>92</v>
      </c>
      <c r="AA765" t="s">
        <v>97</v>
      </c>
      <c r="AB765">
        <v>1</v>
      </c>
      <c r="AO765" t="str">
        <f t="shared" si="39"/>
        <v>18-25</v>
      </c>
      <c r="BD765">
        <v>7</v>
      </c>
      <c r="BF765" cm="1">
        <f t="array" ref="BF765">CORREL(J765:J1765,S765:S1765)</f>
        <v>-0.0375580312933595</v>
      </c>
      <c r="BH765">
        <v>4</v>
      </c>
      <c r="BI765">
        <f t="shared" si="37"/>
        <v>1.75</v>
      </c>
      <c r="BJ765">
        <f t="shared" si="38"/>
        <v>2.28571428571429</v>
      </c>
    </row>
    <row r="766" spans="1:62">
      <c r="A766" s="1">
        <v>644906975</v>
      </c>
      <c r="B766">
        <v>46</v>
      </c>
      <c r="C766" t="s">
        <v>59</v>
      </c>
      <c r="D766" t="s">
        <v>60</v>
      </c>
      <c r="E766" t="s">
        <v>61</v>
      </c>
      <c r="F766" t="s">
        <v>62</v>
      </c>
      <c r="G766" t="s">
        <v>60</v>
      </c>
      <c r="H766" t="s">
        <v>952</v>
      </c>
      <c r="I766" t="s">
        <v>209</v>
      </c>
      <c r="J766" s="2">
        <v>367.7</v>
      </c>
      <c r="K766">
        <v>3</v>
      </c>
      <c r="L766" t="s">
        <v>65</v>
      </c>
      <c r="M766">
        <v>3</v>
      </c>
      <c r="N766">
        <v>5</v>
      </c>
      <c r="O766">
        <v>2</v>
      </c>
      <c r="P766" t="s">
        <v>66</v>
      </c>
      <c r="Q766" t="s">
        <v>67</v>
      </c>
      <c r="R766">
        <v>2</v>
      </c>
      <c r="S766">
        <v>3</v>
      </c>
      <c r="T766" t="s">
        <v>74</v>
      </c>
      <c r="U766" t="s">
        <v>105</v>
      </c>
      <c r="V766" t="s">
        <v>69</v>
      </c>
      <c r="W766" s="3">
        <v>45368</v>
      </c>
      <c r="X766" t="b">
        <v>1</v>
      </c>
      <c r="Y766" t="b">
        <v>1</v>
      </c>
      <c r="Z766" t="s">
        <v>70</v>
      </c>
      <c r="AA766" t="s">
        <v>71</v>
      </c>
      <c r="AB766">
        <v>3</v>
      </c>
      <c r="AO766" t="str">
        <f t="shared" si="39"/>
        <v>41-60</v>
      </c>
      <c r="BD766">
        <v>3</v>
      </c>
      <c r="BF766" cm="1">
        <f t="array" ref="BF766">CORREL(J766:J1766,S766:S1766)</f>
        <v>-0.0370472855512565</v>
      </c>
      <c r="BH766">
        <v>3</v>
      </c>
      <c r="BI766">
        <f t="shared" si="37"/>
        <v>1</v>
      </c>
      <c r="BJ766">
        <f t="shared" si="38"/>
        <v>3</v>
      </c>
    </row>
    <row r="767" spans="1:62">
      <c r="A767" s="1">
        <v>917893191</v>
      </c>
      <c r="B767">
        <v>41</v>
      </c>
      <c r="C767" t="s">
        <v>59</v>
      </c>
      <c r="D767" t="s">
        <v>74</v>
      </c>
      <c r="E767" t="s">
        <v>86</v>
      </c>
      <c r="F767" t="s">
        <v>75</v>
      </c>
      <c r="G767" t="s">
        <v>60</v>
      </c>
      <c r="H767" t="s">
        <v>953</v>
      </c>
      <c r="I767" t="s">
        <v>113</v>
      </c>
      <c r="J767" s="2">
        <v>229.97</v>
      </c>
      <c r="K767">
        <v>7</v>
      </c>
      <c r="L767" t="s">
        <v>65</v>
      </c>
      <c r="M767">
        <v>3</v>
      </c>
      <c r="N767">
        <v>4</v>
      </c>
      <c r="O767">
        <v>0</v>
      </c>
      <c r="P767" t="s">
        <v>66</v>
      </c>
      <c r="Q767" t="s">
        <v>109</v>
      </c>
      <c r="R767">
        <v>2</v>
      </c>
      <c r="S767">
        <v>9</v>
      </c>
      <c r="T767" t="s">
        <v>66</v>
      </c>
      <c r="U767" t="s">
        <v>105</v>
      </c>
      <c r="V767" t="s">
        <v>96</v>
      </c>
      <c r="W767" s="3">
        <v>45617</v>
      </c>
      <c r="X767" t="b">
        <v>0</v>
      </c>
      <c r="Y767" t="b">
        <v>1</v>
      </c>
      <c r="Z767" t="s">
        <v>70</v>
      </c>
      <c r="AA767" t="s">
        <v>83</v>
      </c>
      <c r="AB767">
        <v>6</v>
      </c>
      <c r="AO767" t="str">
        <f t="shared" si="39"/>
        <v>41-60</v>
      </c>
      <c r="BD767">
        <v>7</v>
      </c>
      <c r="BF767" cm="1">
        <f t="array" ref="BF767">CORREL(J767:J1767,S767:S1767)</f>
        <v>-0.0347120416872879</v>
      </c>
      <c r="BH767">
        <v>9</v>
      </c>
      <c r="BI767">
        <f t="shared" si="37"/>
        <v>0.777777777777778</v>
      </c>
      <c r="BJ767">
        <f t="shared" si="38"/>
        <v>11.5714285714286</v>
      </c>
    </row>
    <row r="768" spans="1:62">
      <c r="A768" s="1">
        <v>837149649</v>
      </c>
      <c r="B768">
        <v>28</v>
      </c>
      <c r="C768" t="s">
        <v>59</v>
      </c>
      <c r="D768" t="s">
        <v>60</v>
      </c>
      <c r="E768" t="s">
        <v>98</v>
      </c>
      <c r="F768" t="s">
        <v>62</v>
      </c>
      <c r="G768" t="s">
        <v>60</v>
      </c>
      <c r="H768" t="s">
        <v>954</v>
      </c>
      <c r="I768" t="s">
        <v>95</v>
      </c>
      <c r="J768" s="2">
        <v>226.53</v>
      </c>
      <c r="K768">
        <v>3</v>
      </c>
      <c r="L768" t="s">
        <v>85</v>
      </c>
      <c r="M768">
        <v>3</v>
      </c>
      <c r="N768">
        <v>1</v>
      </c>
      <c r="O768">
        <v>1</v>
      </c>
      <c r="P768" t="s">
        <v>74</v>
      </c>
      <c r="Q768" t="s">
        <v>80</v>
      </c>
      <c r="R768">
        <v>1</v>
      </c>
      <c r="S768">
        <v>10</v>
      </c>
      <c r="T768" t="s">
        <v>79</v>
      </c>
      <c r="U768" t="s">
        <v>105</v>
      </c>
      <c r="V768" t="s">
        <v>81</v>
      </c>
      <c r="W768" s="3">
        <v>45506</v>
      </c>
      <c r="X768" t="b">
        <v>1</v>
      </c>
      <c r="Y768" t="b">
        <v>0</v>
      </c>
      <c r="Z768" t="s">
        <v>82</v>
      </c>
      <c r="AA768" t="s">
        <v>71</v>
      </c>
      <c r="AB768">
        <v>13</v>
      </c>
      <c r="AO768" t="str">
        <f t="shared" si="39"/>
        <v>26-40</v>
      </c>
      <c r="BD768">
        <v>3</v>
      </c>
      <c r="BF768" cm="1">
        <f t="array" ref="BF768">CORREL(J768:J1768,S768:S1768)</f>
        <v>-0.0326886991095046</v>
      </c>
      <c r="BH768">
        <v>10</v>
      </c>
      <c r="BI768">
        <f t="shared" si="37"/>
        <v>0.3</v>
      </c>
      <c r="BJ768">
        <f t="shared" si="38"/>
        <v>33.3333333333333</v>
      </c>
    </row>
    <row r="769" spans="1:62">
      <c r="A769" s="1">
        <v>332034230</v>
      </c>
      <c r="B769">
        <v>23</v>
      </c>
      <c r="C769" t="s">
        <v>73</v>
      </c>
      <c r="D769" t="s">
        <v>74</v>
      </c>
      <c r="E769" t="s">
        <v>103</v>
      </c>
      <c r="F769" t="s">
        <v>87</v>
      </c>
      <c r="G769" t="s">
        <v>60</v>
      </c>
      <c r="H769" t="s">
        <v>955</v>
      </c>
      <c r="I769" t="s">
        <v>133</v>
      </c>
      <c r="J769" s="2">
        <v>218.32</v>
      </c>
      <c r="K769">
        <v>2</v>
      </c>
      <c r="L769" t="s">
        <v>65</v>
      </c>
      <c r="M769">
        <v>5</v>
      </c>
      <c r="N769">
        <v>3</v>
      </c>
      <c r="O769">
        <v>0</v>
      </c>
      <c r="P769" t="s">
        <v>74</v>
      </c>
      <c r="Q769" t="s">
        <v>80</v>
      </c>
      <c r="R769">
        <v>2</v>
      </c>
      <c r="S769">
        <v>7</v>
      </c>
      <c r="T769" t="s">
        <v>84</v>
      </c>
      <c r="U769" t="s">
        <v>105</v>
      </c>
      <c r="V769" t="s">
        <v>81</v>
      </c>
      <c r="W769" s="3">
        <v>45559</v>
      </c>
      <c r="X769" t="b">
        <v>0</v>
      </c>
      <c r="Y769" t="b">
        <v>0</v>
      </c>
      <c r="Z769" t="s">
        <v>70</v>
      </c>
      <c r="AA769" t="s">
        <v>97</v>
      </c>
      <c r="AB769">
        <v>3</v>
      </c>
      <c r="AO769" t="str">
        <f t="shared" si="39"/>
        <v>18-25</v>
      </c>
      <c r="BD769">
        <v>2</v>
      </c>
      <c r="BF769" cm="1">
        <f t="array" ref="BF769">CORREL(J769:J1769,S769:S1769)</f>
        <v>-0.0299096083760376</v>
      </c>
      <c r="BH769">
        <v>7</v>
      </c>
      <c r="BI769">
        <f t="shared" si="37"/>
        <v>0.285714285714286</v>
      </c>
      <c r="BJ769">
        <f t="shared" si="38"/>
        <v>24.5</v>
      </c>
    </row>
    <row r="770" spans="1:62">
      <c r="A770" s="1">
        <v>909182833</v>
      </c>
      <c r="B770">
        <v>48</v>
      </c>
      <c r="C770" t="s">
        <v>59</v>
      </c>
      <c r="D770" t="s">
        <v>74</v>
      </c>
      <c r="E770" t="s">
        <v>98</v>
      </c>
      <c r="F770" t="s">
        <v>75</v>
      </c>
      <c r="G770" t="s">
        <v>74</v>
      </c>
      <c r="H770" t="s">
        <v>956</v>
      </c>
      <c r="I770" t="s">
        <v>100</v>
      </c>
      <c r="J770" s="2">
        <v>132.67</v>
      </c>
      <c r="K770">
        <v>7</v>
      </c>
      <c r="L770" t="s">
        <v>78</v>
      </c>
      <c r="M770">
        <v>2</v>
      </c>
      <c r="N770">
        <v>5</v>
      </c>
      <c r="O770">
        <v>1</v>
      </c>
      <c r="P770" t="s">
        <v>84</v>
      </c>
      <c r="Q770" t="s">
        <v>109</v>
      </c>
      <c r="R770">
        <v>2</v>
      </c>
      <c r="S770">
        <v>3</v>
      </c>
      <c r="T770" t="s">
        <v>84</v>
      </c>
      <c r="U770" t="s">
        <v>90</v>
      </c>
      <c r="V770" t="s">
        <v>96</v>
      </c>
      <c r="W770" s="3">
        <v>45644</v>
      </c>
      <c r="X770" t="b">
        <v>1</v>
      </c>
      <c r="Y770" t="b">
        <v>0</v>
      </c>
      <c r="Z770" t="s">
        <v>92</v>
      </c>
      <c r="AA770" t="s">
        <v>97</v>
      </c>
      <c r="AB770">
        <v>1</v>
      </c>
      <c r="AO770" t="str">
        <f t="shared" si="39"/>
        <v>41-60</v>
      </c>
      <c r="BD770">
        <v>7</v>
      </c>
      <c r="BF770" cm="1">
        <f t="array" ref="BF770">CORREL(J770:J1770,S770:S1770)</f>
        <v>-0.0287240223309674</v>
      </c>
      <c r="BH770">
        <v>3</v>
      </c>
      <c r="BI770">
        <f t="shared" si="37"/>
        <v>2.33333333333333</v>
      </c>
      <c r="BJ770">
        <f t="shared" si="38"/>
        <v>1.28571428571429</v>
      </c>
    </row>
    <row r="771" spans="1:62">
      <c r="A771" s="1">
        <v>534091176</v>
      </c>
      <c r="B771">
        <v>26</v>
      </c>
      <c r="C771" t="s">
        <v>73</v>
      </c>
      <c r="D771" t="s">
        <v>74</v>
      </c>
      <c r="E771" t="s">
        <v>86</v>
      </c>
      <c r="F771" t="s">
        <v>87</v>
      </c>
      <c r="G771" t="s">
        <v>74</v>
      </c>
      <c r="H771" t="s">
        <v>957</v>
      </c>
      <c r="I771" t="s">
        <v>143</v>
      </c>
      <c r="J771" s="2">
        <v>416.96</v>
      </c>
      <c r="K771">
        <v>7</v>
      </c>
      <c r="L771" t="s">
        <v>78</v>
      </c>
      <c r="M771">
        <v>5</v>
      </c>
      <c r="N771">
        <v>1</v>
      </c>
      <c r="O771">
        <v>1</v>
      </c>
      <c r="P771" t="s">
        <v>74</v>
      </c>
      <c r="Q771" t="s">
        <v>80</v>
      </c>
      <c r="R771">
        <v>0</v>
      </c>
      <c r="S771">
        <v>1</v>
      </c>
      <c r="T771" t="s">
        <v>74</v>
      </c>
      <c r="U771" t="s">
        <v>68</v>
      </c>
      <c r="V771" t="s">
        <v>96</v>
      </c>
      <c r="W771" s="3">
        <v>45437</v>
      </c>
      <c r="X771" t="b">
        <v>0</v>
      </c>
      <c r="Y771" t="b">
        <v>0</v>
      </c>
      <c r="Z771" t="s">
        <v>102</v>
      </c>
      <c r="AA771" t="s">
        <v>97</v>
      </c>
      <c r="AB771">
        <v>7</v>
      </c>
      <c r="AO771" t="str">
        <f t="shared" si="39"/>
        <v>26-40</v>
      </c>
      <c r="BD771">
        <v>7</v>
      </c>
      <c r="BF771" cm="1">
        <f t="array" ref="BF771">CORREL(J771:J1771,S771:S1771)</f>
        <v>-0.0330378068048883</v>
      </c>
      <c r="BH771">
        <v>1</v>
      </c>
      <c r="BI771">
        <f t="shared" ref="BI771:BI834" si="40">K771/S771</f>
        <v>7</v>
      </c>
      <c r="BJ771">
        <f t="shared" ref="BJ771:BJ834" si="41">BH771/BI771</f>
        <v>0.142857142857143</v>
      </c>
    </row>
    <row r="772" spans="1:62">
      <c r="A772" s="1">
        <v>524913386</v>
      </c>
      <c r="B772">
        <v>39</v>
      </c>
      <c r="C772" t="s">
        <v>59</v>
      </c>
      <c r="D772" t="s">
        <v>74</v>
      </c>
      <c r="E772" t="s">
        <v>61</v>
      </c>
      <c r="F772" t="s">
        <v>87</v>
      </c>
      <c r="G772" t="s">
        <v>60</v>
      </c>
      <c r="H772" t="s">
        <v>958</v>
      </c>
      <c r="I772" t="s">
        <v>143</v>
      </c>
      <c r="J772" s="2">
        <v>459.51</v>
      </c>
      <c r="K772">
        <v>7</v>
      </c>
      <c r="L772" t="s">
        <v>78</v>
      </c>
      <c r="M772">
        <v>1</v>
      </c>
      <c r="N772">
        <v>2</v>
      </c>
      <c r="O772">
        <v>2</v>
      </c>
      <c r="P772" t="s">
        <v>74</v>
      </c>
      <c r="Q772" t="s">
        <v>80</v>
      </c>
      <c r="R772">
        <v>0</v>
      </c>
      <c r="S772">
        <v>5</v>
      </c>
      <c r="T772" t="s">
        <v>79</v>
      </c>
      <c r="U772" t="s">
        <v>68</v>
      </c>
      <c r="V772" t="s">
        <v>91</v>
      </c>
      <c r="W772" s="3">
        <v>45296</v>
      </c>
      <c r="X772" t="b">
        <v>1</v>
      </c>
      <c r="Y772" t="b">
        <v>0</v>
      </c>
      <c r="Z772" t="s">
        <v>70</v>
      </c>
      <c r="AA772" t="s">
        <v>71</v>
      </c>
      <c r="AB772">
        <v>11</v>
      </c>
      <c r="AO772" t="str">
        <f t="shared" si="39"/>
        <v>26-40</v>
      </c>
      <c r="BD772">
        <v>7</v>
      </c>
      <c r="BF772" cm="1">
        <f t="array" ref="BF772">CORREL(J772:J1772,S772:S1772)</f>
        <v>-0.0262144091087146</v>
      </c>
      <c r="BH772">
        <v>5</v>
      </c>
      <c r="BI772">
        <f t="shared" si="40"/>
        <v>1.4</v>
      </c>
      <c r="BJ772">
        <f t="shared" si="41"/>
        <v>3.57142857142857</v>
      </c>
    </row>
    <row r="773" spans="1:62">
      <c r="A773" s="1">
        <v>108703357</v>
      </c>
      <c r="B773">
        <v>45</v>
      </c>
      <c r="C773" t="s">
        <v>73</v>
      </c>
      <c r="D773" t="s">
        <v>60</v>
      </c>
      <c r="E773" t="s">
        <v>61</v>
      </c>
      <c r="F773" t="s">
        <v>75</v>
      </c>
      <c r="G773" t="s">
        <v>74</v>
      </c>
      <c r="H773" t="s">
        <v>959</v>
      </c>
      <c r="I773" t="s">
        <v>113</v>
      </c>
      <c r="J773" s="2">
        <v>487.96</v>
      </c>
      <c r="K773">
        <v>2</v>
      </c>
      <c r="L773" t="s">
        <v>65</v>
      </c>
      <c r="M773">
        <v>5</v>
      </c>
      <c r="N773">
        <v>3</v>
      </c>
      <c r="O773">
        <v>2</v>
      </c>
      <c r="P773" t="s">
        <v>84</v>
      </c>
      <c r="Q773" t="s">
        <v>109</v>
      </c>
      <c r="R773">
        <v>0</v>
      </c>
      <c r="S773">
        <v>2</v>
      </c>
      <c r="T773" t="s">
        <v>66</v>
      </c>
      <c r="U773" t="s">
        <v>105</v>
      </c>
      <c r="V773" t="s">
        <v>81</v>
      </c>
      <c r="W773" s="3">
        <v>45366</v>
      </c>
      <c r="X773" t="b">
        <v>1</v>
      </c>
      <c r="Y773" t="b">
        <v>1</v>
      </c>
      <c r="Z773" t="s">
        <v>70</v>
      </c>
      <c r="AA773" t="s">
        <v>71</v>
      </c>
      <c r="AB773">
        <v>12</v>
      </c>
      <c r="AO773" t="str">
        <f t="shared" si="39"/>
        <v>41-60</v>
      </c>
      <c r="BD773">
        <v>2</v>
      </c>
      <c r="BF773" cm="1">
        <f t="array" ref="BF773">CORREL(J773:J1773,S773:S1773)</f>
        <v>-0.0254909680907065</v>
      </c>
      <c r="BH773">
        <v>2</v>
      </c>
      <c r="BI773">
        <f t="shared" si="40"/>
        <v>1</v>
      </c>
      <c r="BJ773">
        <f t="shared" si="41"/>
        <v>2</v>
      </c>
    </row>
    <row r="774" spans="1:62">
      <c r="A774" s="1">
        <v>418167753</v>
      </c>
      <c r="B774">
        <v>22</v>
      </c>
      <c r="C774" t="s">
        <v>73</v>
      </c>
      <c r="D774" t="s">
        <v>60</v>
      </c>
      <c r="E774" t="s">
        <v>103</v>
      </c>
      <c r="F774" t="s">
        <v>75</v>
      </c>
      <c r="G774" t="s">
        <v>74</v>
      </c>
      <c r="H774" t="s">
        <v>960</v>
      </c>
      <c r="I774" t="s">
        <v>137</v>
      </c>
      <c r="J774" s="2">
        <v>150.11</v>
      </c>
      <c r="K774">
        <v>7</v>
      </c>
      <c r="L774" t="s">
        <v>65</v>
      </c>
      <c r="M774">
        <v>4</v>
      </c>
      <c r="N774">
        <v>4</v>
      </c>
      <c r="O774">
        <v>1.5</v>
      </c>
      <c r="P774" t="s">
        <v>84</v>
      </c>
      <c r="Q774" t="s">
        <v>109</v>
      </c>
      <c r="R774">
        <v>0</v>
      </c>
      <c r="S774">
        <v>3</v>
      </c>
      <c r="T774" t="s">
        <v>74</v>
      </c>
      <c r="U774" t="s">
        <v>90</v>
      </c>
      <c r="V774" t="s">
        <v>69</v>
      </c>
      <c r="W774" s="3">
        <v>45496</v>
      </c>
      <c r="X774" t="b">
        <v>1</v>
      </c>
      <c r="Y774" t="b">
        <v>0</v>
      </c>
      <c r="Z774" t="s">
        <v>82</v>
      </c>
      <c r="AA774" t="s">
        <v>83</v>
      </c>
      <c r="AB774">
        <v>8</v>
      </c>
      <c r="AO774" t="str">
        <f t="shared" si="39"/>
        <v>18-25</v>
      </c>
      <c r="BD774">
        <v>7</v>
      </c>
      <c r="BF774" cm="1">
        <f t="array" ref="BF774">CORREL(J774:J1774,S774:S1774)</f>
        <v>-0.0171669190019736</v>
      </c>
      <c r="BH774">
        <v>3</v>
      </c>
      <c r="BI774">
        <f t="shared" si="40"/>
        <v>2.33333333333333</v>
      </c>
      <c r="BJ774">
        <f t="shared" si="41"/>
        <v>1.28571428571429</v>
      </c>
    </row>
    <row r="775" spans="1:62">
      <c r="A775" s="1">
        <v>682965978</v>
      </c>
      <c r="B775">
        <v>36</v>
      </c>
      <c r="C775" t="s">
        <v>73</v>
      </c>
      <c r="D775" t="s">
        <v>74</v>
      </c>
      <c r="E775" t="s">
        <v>61</v>
      </c>
      <c r="F775" t="s">
        <v>75</v>
      </c>
      <c r="G775" t="s">
        <v>60</v>
      </c>
      <c r="H775" t="s">
        <v>961</v>
      </c>
      <c r="I775" t="s">
        <v>124</v>
      </c>
      <c r="J775" s="2">
        <v>218.87</v>
      </c>
      <c r="K775">
        <v>5</v>
      </c>
      <c r="L775" t="s">
        <v>65</v>
      </c>
      <c r="M775">
        <v>4</v>
      </c>
      <c r="N775">
        <v>3</v>
      </c>
      <c r="O775">
        <v>0</v>
      </c>
      <c r="P775" t="s">
        <v>79</v>
      </c>
      <c r="Q775" t="s">
        <v>109</v>
      </c>
      <c r="R775">
        <v>0</v>
      </c>
      <c r="S775">
        <v>4</v>
      </c>
      <c r="T775" t="s">
        <v>79</v>
      </c>
      <c r="U775" t="s">
        <v>90</v>
      </c>
      <c r="V775" t="s">
        <v>110</v>
      </c>
      <c r="W775" s="3">
        <v>45553</v>
      </c>
      <c r="X775" t="b">
        <v>1</v>
      </c>
      <c r="Y775" t="b">
        <v>0</v>
      </c>
      <c r="Z775" t="s">
        <v>102</v>
      </c>
      <c r="AA775" t="s">
        <v>71</v>
      </c>
      <c r="AB775">
        <v>11</v>
      </c>
      <c r="AO775" t="str">
        <f t="shared" si="39"/>
        <v>26-40</v>
      </c>
      <c r="BD775">
        <v>5</v>
      </c>
      <c r="BF775" cm="1">
        <f t="array" ref="BF775">CORREL(J775:J1775,S775:S1775)</f>
        <v>-0.0210481557255649</v>
      </c>
      <c r="BH775">
        <v>4</v>
      </c>
      <c r="BI775">
        <f t="shared" si="40"/>
        <v>1.25</v>
      </c>
      <c r="BJ775">
        <f t="shared" si="41"/>
        <v>3.2</v>
      </c>
    </row>
    <row r="776" spans="1:62">
      <c r="A776" s="4" t="s">
        <v>962</v>
      </c>
      <c r="B776">
        <v>29</v>
      </c>
      <c r="C776" t="s">
        <v>59</v>
      </c>
      <c r="D776" t="s">
        <v>60</v>
      </c>
      <c r="E776" t="s">
        <v>61</v>
      </c>
      <c r="F776" t="s">
        <v>62</v>
      </c>
      <c r="G776" t="s">
        <v>74</v>
      </c>
      <c r="H776" t="s">
        <v>963</v>
      </c>
      <c r="I776" t="s">
        <v>115</v>
      </c>
      <c r="J776" s="2">
        <v>437.06</v>
      </c>
      <c r="K776">
        <v>7</v>
      </c>
      <c r="L776" t="s">
        <v>78</v>
      </c>
      <c r="M776">
        <v>3</v>
      </c>
      <c r="N776">
        <v>5</v>
      </c>
      <c r="O776">
        <v>2</v>
      </c>
      <c r="P776" t="s">
        <v>84</v>
      </c>
      <c r="Q776" t="s">
        <v>109</v>
      </c>
      <c r="R776">
        <v>0</v>
      </c>
      <c r="S776">
        <v>6</v>
      </c>
      <c r="T776" t="s">
        <v>84</v>
      </c>
      <c r="U776" t="s">
        <v>90</v>
      </c>
      <c r="V776" t="s">
        <v>110</v>
      </c>
      <c r="W776" s="3">
        <v>45360</v>
      </c>
      <c r="X776" t="b">
        <v>0</v>
      </c>
      <c r="Y776" t="b">
        <v>0</v>
      </c>
      <c r="Z776" t="s">
        <v>92</v>
      </c>
      <c r="AA776" t="s">
        <v>97</v>
      </c>
      <c r="AB776">
        <v>11</v>
      </c>
      <c r="AO776" t="str">
        <f t="shared" si="39"/>
        <v>26-40</v>
      </c>
      <c r="BD776">
        <v>7</v>
      </c>
      <c r="BF776" cm="1">
        <f t="array" ref="BF776">CORREL(J776:J1776,S776:S1776)</f>
        <v>-0.0221373199283449</v>
      </c>
      <c r="BH776">
        <v>6</v>
      </c>
      <c r="BI776">
        <f t="shared" si="40"/>
        <v>1.16666666666667</v>
      </c>
      <c r="BJ776">
        <f t="shared" si="41"/>
        <v>5.14285714285714</v>
      </c>
    </row>
    <row r="777" spans="1:62">
      <c r="A777" s="1">
        <v>281238406</v>
      </c>
      <c r="B777">
        <v>33</v>
      </c>
      <c r="C777" t="s">
        <v>73</v>
      </c>
      <c r="D777" t="s">
        <v>74</v>
      </c>
      <c r="E777" t="s">
        <v>61</v>
      </c>
      <c r="F777" t="s">
        <v>62</v>
      </c>
      <c r="G777" t="s">
        <v>74</v>
      </c>
      <c r="H777" t="s">
        <v>964</v>
      </c>
      <c r="I777" t="s">
        <v>174</v>
      </c>
      <c r="J777" s="2">
        <v>122.58</v>
      </c>
      <c r="K777">
        <v>2</v>
      </c>
      <c r="L777" t="s">
        <v>78</v>
      </c>
      <c r="M777">
        <v>5</v>
      </c>
      <c r="N777">
        <v>4</v>
      </c>
      <c r="O777">
        <v>1.5</v>
      </c>
      <c r="P777" t="s">
        <v>84</v>
      </c>
      <c r="Q777" t="s">
        <v>80</v>
      </c>
      <c r="R777">
        <v>2</v>
      </c>
      <c r="S777">
        <v>5</v>
      </c>
      <c r="T777" t="s">
        <v>66</v>
      </c>
      <c r="U777" t="s">
        <v>68</v>
      </c>
      <c r="V777" t="s">
        <v>96</v>
      </c>
      <c r="W777" s="3">
        <v>45320</v>
      </c>
      <c r="X777" t="b">
        <v>1</v>
      </c>
      <c r="Y777" t="b">
        <v>0</v>
      </c>
      <c r="Z777" t="s">
        <v>92</v>
      </c>
      <c r="AA777" t="s">
        <v>97</v>
      </c>
      <c r="AB777">
        <v>12</v>
      </c>
      <c r="AO777" t="str">
        <f t="shared" si="39"/>
        <v>26-40</v>
      </c>
      <c r="BD777">
        <v>2</v>
      </c>
      <c r="BF777" cm="1">
        <f t="array" ref="BF777">CORREL(J777:J1777,S777:S1777)</f>
        <v>-0.0233233261954046</v>
      </c>
      <c r="BH777">
        <v>5</v>
      </c>
      <c r="BI777">
        <f t="shared" si="40"/>
        <v>0.4</v>
      </c>
      <c r="BJ777">
        <f t="shared" si="41"/>
        <v>12.5</v>
      </c>
    </row>
    <row r="778" spans="1:62">
      <c r="A778" s="4" t="s">
        <v>965</v>
      </c>
      <c r="B778">
        <v>35</v>
      </c>
      <c r="C778" t="s">
        <v>73</v>
      </c>
      <c r="D778" t="s">
        <v>74</v>
      </c>
      <c r="E778" t="s">
        <v>61</v>
      </c>
      <c r="F778" t="s">
        <v>87</v>
      </c>
      <c r="G778" t="s">
        <v>60</v>
      </c>
      <c r="H778" t="s">
        <v>966</v>
      </c>
      <c r="I778" t="s">
        <v>77</v>
      </c>
      <c r="J778" s="2">
        <v>195.07</v>
      </c>
      <c r="K778">
        <v>8</v>
      </c>
      <c r="L778" t="s">
        <v>85</v>
      </c>
      <c r="M778">
        <v>3</v>
      </c>
      <c r="N778">
        <v>1</v>
      </c>
      <c r="O778">
        <v>1</v>
      </c>
      <c r="P778" t="s">
        <v>74</v>
      </c>
      <c r="Q778" t="s">
        <v>67</v>
      </c>
      <c r="R778">
        <v>0</v>
      </c>
      <c r="S778">
        <v>6</v>
      </c>
      <c r="T778" t="s">
        <v>66</v>
      </c>
      <c r="U778" t="s">
        <v>90</v>
      </c>
      <c r="V778" t="s">
        <v>91</v>
      </c>
      <c r="W778" s="3">
        <v>45495</v>
      </c>
      <c r="X778" t="b">
        <v>0</v>
      </c>
      <c r="Y778" t="b">
        <v>0</v>
      </c>
      <c r="Z778" t="s">
        <v>92</v>
      </c>
      <c r="AA778" t="s">
        <v>71</v>
      </c>
      <c r="AB778">
        <v>10</v>
      </c>
      <c r="AO778" t="str">
        <f t="shared" si="39"/>
        <v>26-40</v>
      </c>
      <c r="BD778">
        <v>8</v>
      </c>
      <c r="BF778" cm="1">
        <f t="array" ref="BF778">CORREL(J778:J1778,S778:S1778)</f>
        <v>-0.0242119020036607</v>
      </c>
      <c r="BH778">
        <v>6</v>
      </c>
      <c r="BI778">
        <f t="shared" si="40"/>
        <v>1.33333333333333</v>
      </c>
      <c r="BJ778">
        <f t="shared" si="41"/>
        <v>4.5</v>
      </c>
    </row>
    <row r="779" spans="1:62">
      <c r="A779" s="1">
        <v>237581012</v>
      </c>
      <c r="B779">
        <v>39</v>
      </c>
      <c r="C779" t="s">
        <v>59</v>
      </c>
      <c r="D779" t="s">
        <v>60</v>
      </c>
      <c r="E779" t="s">
        <v>86</v>
      </c>
      <c r="F779" t="s">
        <v>75</v>
      </c>
      <c r="G779" t="s">
        <v>74</v>
      </c>
      <c r="H779" t="s">
        <v>967</v>
      </c>
      <c r="I779" t="s">
        <v>107</v>
      </c>
      <c r="J779" s="2">
        <v>190.06</v>
      </c>
      <c r="K779">
        <v>9</v>
      </c>
      <c r="L779" t="s">
        <v>78</v>
      </c>
      <c r="M779">
        <v>5</v>
      </c>
      <c r="N779">
        <v>1</v>
      </c>
      <c r="O779">
        <v>1</v>
      </c>
      <c r="P779" t="s">
        <v>66</v>
      </c>
      <c r="Q779" t="s">
        <v>67</v>
      </c>
      <c r="R779">
        <v>1</v>
      </c>
      <c r="S779">
        <v>2</v>
      </c>
      <c r="T779" t="s">
        <v>84</v>
      </c>
      <c r="U779" t="s">
        <v>90</v>
      </c>
      <c r="V779" t="s">
        <v>96</v>
      </c>
      <c r="W779" s="3">
        <v>45325</v>
      </c>
      <c r="X779" t="b">
        <v>1</v>
      </c>
      <c r="Y779" t="b">
        <v>1</v>
      </c>
      <c r="Z779" t="s">
        <v>102</v>
      </c>
      <c r="AA779" t="s">
        <v>83</v>
      </c>
      <c r="AB779">
        <v>12</v>
      </c>
      <c r="AO779" t="str">
        <f t="shared" si="39"/>
        <v>26-40</v>
      </c>
      <c r="BD779">
        <v>9</v>
      </c>
      <c r="BF779" cm="1">
        <f t="array" ref="BF779">CORREL(J779:J1779,S779:S1779)</f>
        <v>-0.0236242687510376</v>
      </c>
      <c r="BH779">
        <v>2</v>
      </c>
      <c r="BI779">
        <f t="shared" si="40"/>
        <v>4.5</v>
      </c>
      <c r="BJ779">
        <f t="shared" si="41"/>
        <v>0.444444444444444</v>
      </c>
    </row>
    <row r="780" spans="1:62">
      <c r="A780" s="1">
        <v>347888387</v>
      </c>
      <c r="B780">
        <v>38</v>
      </c>
      <c r="C780" t="s">
        <v>59</v>
      </c>
      <c r="D780" t="s">
        <v>60</v>
      </c>
      <c r="E780" t="s">
        <v>86</v>
      </c>
      <c r="F780" t="s">
        <v>75</v>
      </c>
      <c r="G780" t="s">
        <v>60</v>
      </c>
      <c r="H780" t="s">
        <v>968</v>
      </c>
      <c r="I780" t="s">
        <v>156</v>
      </c>
      <c r="J780" s="2">
        <v>485.76</v>
      </c>
      <c r="K780">
        <v>10</v>
      </c>
      <c r="L780" t="s">
        <v>78</v>
      </c>
      <c r="M780">
        <v>3</v>
      </c>
      <c r="N780">
        <v>4</v>
      </c>
      <c r="O780">
        <v>0</v>
      </c>
      <c r="P780" t="s">
        <v>79</v>
      </c>
      <c r="Q780" t="s">
        <v>67</v>
      </c>
      <c r="R780">
        <v>0</v>
      </c>
      <c r="S780">
        <v>4</v>
      </c>
      <c r="T780" t="s">
        <v>74</v>
      </c>
      <c r="U780" t="s">
        <v>105</v>
      </c>
      <c r="V780" t="s">
        <v>91</v>
      </c>
      <c r="W780" s="3">
        <v>45446</v>
      </c>
      <c r="X780" t="b">
        <v>1</v>
      </c>
      <c r="Y780" t="b">
        <v>1</v>
      </c>
      <c r="Z780" t="s">
        <v>82</v>
      </c>
      <c r="AA780" t="s">
        <v>71</v>
      </c>
      <c r="AB780">
        <v>4</v>
      </c>
      <c r="AO780" t="str">
        <f t="shared" si="39"/>
        <v>26-40</v>
      </c>
      <c r="BD780">
        <v>10</v>
      </c>
      <c r="BF780" cm="1">
        <f t="array" ref="BF780">CORREL(J780:J1780,S780:S1780)</f>
        <v>-0.0275871771941025</v>
      </c>
      <c r="BH780">
        <v>4</v>
      </c>
      <c r="BI780">
        <f t="shared" si="40"/>
        <v>2.5</v>
      </c>
      <c r="BJ780">
        <f t="shared" si="41"/>
        <v>1.6</v>
      </c>
    </row>
    <row r="781" spans="1:62">
      <c r="A781" s="1">
        <v>538659342</v>
      </c>
      <c r="B781">
        <v>27</v>
      </c>
      <c r="C781" t="s">
        <v>59</v>
      </c>
      <c r="D781" t="s">
        <v>74</v>
      </c>
      <c r="E781" t="s">
        <v>86</v>
      </c>
      <c r="F781" t="s">
        <v>62</v>
      </c>
      <c r="G781" t="s">
        <v>74</v>
      </c>
      <c r="H781" t="s">
        <v>969</v>
      </c>
      <c r="I781" t="s">
        <v>107</v>
      </c>
      <c r="J781" s="2">
        <v>242.57</v>
      </c>
      <c r="K781">
        <v>7</v>
      </c>
      <c r="L781" t="s">
        <v>78</v>
      </c>
      <c r="M781">
        <v>1</v>
      </c>
      <c r="N781">
        <v>1</v>
      </c>
      <c r="O781">
        <v>1</v>
      </c>
      <c r="P781" t="s">
        <v>84</v>
      </c>
      <c r="Q781" t="s">
        <v>80</v>
      </c>
      <c r="R781">
        <v>0</v>
      </c>
      <c r="S781">
        <v>10</v>
      </c>
      <c r="T781" t="s">
        <v>84</v>
      </c>
      <c r="U781" t="s">
        <v>90</v>
      </c>
      <c r="V781" t="s">
        <v>81</v>
      </c>
      <c r="W781" s="3">
        <v>45570</v>
      </c>
      <c r="X781" t="b">
        <v>1</v>
      </c>
      <c r="Y781" t="b">
        <v>0</v>
      </c>
      <c r="Z781" t="s">
        <v>82</v>
      </c>
      <c r="AA781" t="s">
        <v>71</v>
      </c>
      <c r="AB781">
        <v>1</v>
      </c>
      <c r="AO781" t="str">
        <f t="shared" si="39"/>
        <v>26-40</v>
      </c>
      <c r="BD781">
        <v>7</v>
      </c>
      <c r="BF781" cm="1">
        <f t="array" ref="BF781">CORREL(J781:J1781,S781:S1781)</f>
        <v>-0.0241109258717297</v>
      </c>
      <c r="BH781">
        <v>10</v>
      </c>
      <c r="BI781">
        <f t="shared" si="40"/>
        <v>0.7</v>
      </c>
      <c r="BJ781">
        <f t="shared" si="41"/>
        <v>14.2857142857143</v>
      </c>
    </row>
    <row r="782" spans="1:62">
      <c r="A782" s="1">
        <v>790528470</v>
      </c>
      <c r="B782">
        <v>35</v>
      </c>
      <c r="C782" t="s">
        <v>73</v>
      </c>
      <c r="D782" t="s">
        <v>60</v>
      </c>
      <c r="E782" t="s">
        <v>98</v>
      </c>
      <c r="F782" t="s">
        <v>75</v>
      </c>
      <c r="G782" t="s">
        <v>74</v>
      </c>
      <c r="H782" t="s">
        <v>970</v>
      </c>
      <c r="I782" t="s">
        <v>143</v>
      </c>
      <c r="J782" s="2">
        <v>303.13</v>
      </c>
      <c r="K782">
        <v>2</v>
      </c>
      <c r="L782" t="s">
        <v>85</v>
      </c>
      <c r="M782">
        <v>1</v>
      </c>
      <c r="N782">
        <v>1</v>
      </c>
      <c r="O782">
        <v>1</v>
      </c>
      <c r="P782" t="s">
        <v>74</v>
      </c>
      <c r="Q782" t="s">
        <v>80</v>
      </c>
      <c r="R782">
        <v>0</v>
      </c>
      <c r="S782">
        <v>7</v>
      </c>
      <c r="T782" t="s">
        <v>79</v>
      </c>
      <c r="U782" t="s">
        <v>105</v>
      </c>
      <c r="V782" t="s">
        <v>91</v>
      </c>
      <c r="W782" s="3">
        <v>45295</v>
      </c>
      <c r="X782" t="b">
        <v>0</v>
      </c>
      <c r="Y782" t="b">
        <v>1</v>
      </c>
      <c r="Z782" t="s">
        <v>70</v>
      </c>
      <c r="AA782" t="s">
        <v>83</v>
      </c>
      <c r="AB782">
        <v>10</v>
      </c>
      <c r="AO782" t="str">
        <f t="shared" si="39"/>
        <v>26-40</v>
      </c>
      <c r="BD782">
        <v>2</v>
      </c>
      <c r="BF782" cm="1">
        <f t="array" ref="BF782">CORREL(J782:J1782,S782:S1782)</f>
        <v>-0.0220829351070611</v>
      </c>
      <c r="BH782">
        <v>7</v>
      </c>
      <c r="BI782">
        <f t="shared" si="40"/>
        <v>0.285714285714286</v>
      </c>
      <c r="BJ782">
        <f t="shared" si="41"/>
        <v>24.5</v>
      </c>
    </row>
    <row r="783" spans="1:62">
      <c r="A783" s="1">
        <v>863597320</v>
      </c>
      <c r="B783">
        <v>43</v>
      </c>
      <c r="C783" t="s">
        <v>59</v>
      </c>
      <c r="D783" t="s">
        <v>60</v>
      </c>
      <c r="E783" t="s">
        <v>98</v>
      </c>
      <c r="F783" t="s">
        <v>87</v>
      </c>
      <c r="G783" t="s">
        <v>60</v>
      </c>
      <c r="H783" t="s">
        <v>971</v>
      </c>
      <c r="I783" t="s">
        <v>137</v>
      </c>
      <c r="J783" s="2">
        <v>136.1</v>
      </c>
      <c r="K783">
        <v>5</v>
      </c>
      <c r="L783" t="s">
        <v>78</v>
      </c>
      <c r="M783">
        <v>3</v>
      </c>
      <c r="N783">
        <v>5</v>
      </c>
      <c r="O783">
        <v>2</v>
      </c>
      <c r="P783" t="s">
        <v>84</v>
      </c>
      <c r="Q783" t="s">
        <v>109</v>
      </c>
      <c r="R783">
        <v>0</v>
      </c>
      <c r="S783">
        <v>2</v>
      </c>
      <c r="T783" t="s">
        <v>74</v>
      </c>
      <c r="U783" t="s">
        <v>68</v>
      </c>
      <c r="V783" t="s">
        <v>91</v>
      </c>
      <c r="W783" s="3">
        <v>45349</v>
      </c>
      <c r="X783" t="b">
        <v>0</v>
      </c>
      <c r="Y783" t="b">
        <v>1</v>
      </c>
      <c r="Z783" t="s">
        <v>102</v>
      </c>
      <c r="AA783" t="s">
        <v>97</v>
      </c>
      <c r="AB783">
        <v>14</v>
      </c>
      <c r="AO783" t="str">
        <f t="shared" si="39"/>
        <v>41-60</v>
      </c>
      <c r="BD783">
        <v>5</v>
      </c>
      <c r="BF783" cm="1">
        <f t="array" ref="BF783">CORREL(J783:J1783,S783:S1783)</f>
        <v>-0.0225438579001241</v>
      </c>
      <c r="BH783">
        <v>2</v>
      </c>
      <c r="BI783">
        <f t="shared" si="40"/>
        <v>2.5</v>
      </c>
      <c r="BJ783">
        <f t="shared" si="41"/>
        <v>0.8</v>
      </c>
    </row>
    <row r="784" spans="1:62">
      <c r="A784" s="1">
        <v>271112242</v>
      </c>
      <c r="B784">
        <v>40</v>
      </c>
      <c r="C784" t="s">
        <v>111</v>
      </c>
      <c r="D784" t="s">
        <v>74</v>
      </c>
      <c r="E784" t="s">
        <v>86</v>
      </c>
      <c r="F784" t="s">
        <v>62</v>
      </c>
      <c r="G784" t="s">
        <v>60</v>
      </c>
      <c r="H784" t="s">
        <v>972</v>
      </c>
      <c r="I784" t="s">
        <v>131</v>
      </c>
      <c r="J784" s="2">
        <v>249.02</v>
      </c>
      <c r="K784">
        <v>11</v>
      </c>
      <c r="L784" t="s">
        <v>65</v>
      </c>
      <c r="M784">
        <v>3</v>
      </c>
      <c r="N784">
        <v>2</v>
      </c>
      <c r="O784">
        <v>0.3</v>
      </c>
      <c r="P784" t="s">
        <v>79</v>
      </c>
      <c r="Q784" t="s">
        <v>80</v>
      </c>
      <c r="R784">
        <v>1</v>
      </c>
      <c r="S784">
        <v>1</v>
      </c>
      <c r="T784" t="s">
        <v>79</v>
      </c>
      <c r="U784" t="s">
        <v>90</v>
      </c>
      <c r="V784" t="s">
        <v>81</v>
      </c>
      <c r="W784" s="3">
        <v>45566</v>
      </c>
      <c r="X784" t="b">
        <v>1</v>
      </c>
      <c r="Y784" t="b">
        <v>1</v>
      </c>
      <c r="Z784" t="s">
        <v>102</v>
      </c>
      <c r="AA784" t="s">
        <v>97</v>
      </c>
      <c r="AB784">
        <v>14</v>
      </c>
      <c r="AO784" t="str">
        <f t="shared" si="39"/>
        <v>26-40</v>
      </c>
      <c r="BD784">
        <v>11</v>
      </c>
      <c r="BF784" cm="1">
        <f t="array" ref="BF784">CORREL(J784:J1784,S784:S1784)</f>
        <v>-0.0289182050687916</v>
      </c>
      <c r="BH784">
        <v>1</v>
      </c>
      <c r="BI784">
        <f t="shared" si="40"/>
        <v>11</v>
      </c>
      <c r="BJ784">
        <f t="shared" si="41"/>
        <v>0.0909090909090909</v>
      </c>
    </row>
    <row r="785" spans="1:62">
      <c r="A785" s="1">
        <v>845380238</v>
      </c>
      <c r="B785">
        <v>19</v>
      </c>
      <c r="C785" t="s">
        <v>73</v>
      </c>
      <c r="D785" t="s">
        <v>60</v>
      </c>
      <c r="E785" t="s">
        <v>103</v>
      </c>
      <c r="F785" t="s">
        <v>75</v>
      </c>
      <c r="G785" t="s">
        <v>60</v>
      </c>
      <c r="H785" t="s">
        <v>973</v>
      </c>
      <c r="I785" t="s">
        <v>89</v>
      </c>
      <c r="J785" s="2">
        <v>466.74</v>
      </c>
      <c r="K785">
        <v>7</v>
      </c>
      <c r="L785" t="s">
        <v>78</v>
      </c>
      <c r="M785">
        <v>3</v>
      </c>
      <c r="N785">
        <v>4</v>
      </c>
      <c r="O785">
        <v>0.2</v>
      </c>
      <c r="P785" t="s">
        <v>79</v>
      </c>
      <c r="Q785" t="s">
        <v>80</v>
      </c>
      <c r="R785">
        <v>2</v>
      </c>
      <c r="S785">
        <v>3</v>
      </c>
      <c r="T785" t="s">
        <v>74</v>
      </c>
      <c r="U785" t="s">
        <v>68</v>
      </c>
      <c r="V785" t="s">
        <v>91</v>
      </c>
      <c r="W785" s="3">
        <v>45637</v>
      </c>
      <c r="X785" t="b">
        <v>1</v>
      </c>
      <c r="Y785" t="b">
        <v>1</v>
      </c>
      <c r="Z785" t="s">
        <v>70</v>
      </c>
      <c r="AA785" t="s">
        <v>97</v>
      </c>
      <c r="AB785">
        <v>5</v>
      </c>
      <c r="AO785" t="str">
        <f t="shared" si="39"/>
        <v>18-25</v>
      </c>
      <c r="BD785">
        <v>7</v>
      </c>
      <c r="BF785" cm="1">
        <f t="array" ref="BF785">CORREL(J785:J1785,S785:S1785)</f>
        <v>-0.0309114114094738</v>
      </c>
      <c r="BH785">
        <v>3</v>
      </c>
      <c r="BI785">
        <f t="shared" si="40"/>
        <v>2.33333333333333</v>
      </c>
      <c r="BJ785">
        <f t="shared" si="41"/>
        <v>1.28571428571429</v>
      </c>
    </row>
    <row r="786" spans="1:62">
      <c r="A786" s="4" t="s">
        <v>974</v>
      </c>
      <c r="B786">
        <v>46</v>
      </c>
      <c r="C786" t="s">
        <v>224</v>
      </c>
      <c r="D786" t="s">
        <v>74</v>
      </c>
      <c r="E786" t="s">
        <v>61</v>
      </c>
      <c r="F786" t="s">
        <v>75</v>
      </c>
      <c r="G786" t="s">
        <v>74</v>
      </c>
      <c r="H786" t="s">
        <v>975</v>
      </c>
      <c r="I786" t="s">
        <v>120</v>
      </c>
      <c r="J786" s="2">
        <v>229.3</v>
      </c>
      <c r="K786">
        <v>6</v>
      </c>
      <c r="L786" t="s">
        <v>78</v>
      </c>
      <c r="M786">
        <v>4</v>
      </c>
      <c r="N786">
        <v>5</v>
      </c>
      <c r="O786">
        <v>2</v>
      </c>
      <c r="P786" t="s">
        <v>66</v>
      </c>
      <c r="Q786" t="s">
        <v>67</v>
      </c>
      <c r="R786">
        <v>0</v>
      </c>
      <c r="S786">
        <v>6</v>
      </c>
      <c r="T786" t="s">
        <v>66</v>
      </c>
      <c r="U786" t="s">
        <v>90</v>
      </c>
      <c r="V786" t="s">
        <v>96</v>
      </c>
      <c r="W786" s="3">
        <v>45621</v>
      </c>
      <c r="X786" t="b">
        <v>0</v>
      </c>
      <c r="Y786" t="b">
        <v>0</v>
      </c>
      <c r="Z786" t="s">
        <v>102</v>
      </c>
      <c r="AA786" t="s">
        <v>97</v>
      </c>
      <c r="AB786">
        <v>6</v>
      </c>
      <c r="AO786" t="str">
        <f t="shared" si="39"/>
        <v>41-60</v>
      </c>
      <c r="BD786">
        <v>6</v>
      </c>
      <c r="BF786" cm="1">
        <f t="array" ref="BF786">CORREL(J786:J1786,S786:S1786)</f>
        <v>-0.025312824826707</v>
      </c>
      <c r="BH786">
        <v>6</v>
      </c>
      <c r="BI786">
        <f t="shared" si="40"/>
        <v>1</v>
      </c>
      <c r="BJ786">
        <f t="shared" si="41"/>
        <v>6</v>
      </c>
    </row>
    <row r="787" spans="1:62">
      <c r="A787" s="1">
        <v>964969833</v>
      </c>
      <c r="B787">
        <v>30</v>
      </c>
      <c r="C787" t="s">
        <v>59</v>
      </c>
      <c r="D787" t="s">
        <v>74</v>
      </c>
      <c r="E787" t="s">
        <v>86</v>
      </c>
      <c r="F787" t="s">
        <v>75</v>
      </c>
      <c r="G787" t="s">
        <v>74</v>
      </c>
      <c r="H787" t="s">
        <v>976</v>
      </c>
      <c r="I787" t="s">
        <v>129</v>
      </c>
      <c r="J787" s="2">
        <v>450.52</v>
      </c>
      <c r="K787">
        <v>8</v>
      </c>
      <c r="L787" t="s">
        <v>85</v>
      </c>
      <c r="M787">
        <v>2</v>
      </c>
      <c r="N787">
        <v>2</v>
      </c>
      <c r="O787">
        <v>0.2</v>
      </c>
      <c r="P787" t="s">
        <v>74</v>
      </c>
      <c r="Q787" t="s">
        <v>67</v>
      </c>
      <c r="R787">
        <v>0</v>
      </c>
      <c r="S787">
        <v>6</v>
      </c>
      <c r="T787" t="s">
        <v>84</v>
      </c>
      <c r="U787" t="s">
        <v>105</v>
      </c>
      <c r="V787" t="s">
        <v>81</v>
      </c>
      <c r="W787" s="3">
        <v>45304</v>
      </c>
      <c r="X787" t="b">
        <v>1</v>
      </c>
      <c r="Y787" t="b">
        <v>1</v>
      </c>
      <c r="Z787" t="s">
        <v>70</v>
      </c>
      <c r="AA787" t="s">
        <v>71</v>
      </c>
      <c r="AB787">
        <v>8</v>
      </c>
      <c r="AO787" t="str">
        <f t="shared" si="39"/>
        <v>26-40</v>
      </c>
      <c r="BD787">
        <v>8</v>
      </c>
      <c r="BF787" cm="1">
        <f t="array" ref="BF787">CORREL(J787:J1787,S787:S1787)</f>
        <v>-0.0249680214453324</v>
      </c>
      <c r="BH787">
        <v>6</v>
      </c>
      <c r="BI787">
        <f t="shared" si="40"/>
        <v>1.33333333333333</v>
      </c>
      <c r="BJ787">
        <f t="shared" si="41"/>
        <v>4.5</v>
      </c>
    </row>
    <row r="788" spans="1:62">
      <c r="A788" s="1">
        <v>276726081</v>
      </c>
      <c r="B788">
        <v>35</v>
      </c>
      <c r="C788" t="s">
        <v>73</v>
      </c>
      <c r="D788" t="s">
        <v>74</v>
      </c>
      <c r="E788" t="s">
        <v>103</v>
      </c>
      <c r="F788" t="s">
        <v>62</v>
      </c>
      <c r="G788" t="s">
        <v>60</v>
      </c>
      <c r="H788" t="s">
        <v>977</v>
      </c>
      <c r="I788" t="s">
        <v>156</v>
      </c>
      <c r="J788" s="2">
        <v>246.44</v>
      </c>
      <c r="K788">
        <v>4</v>
      </c>
      <c r="L788" t="s">
        <v>65</v>
      </c>
      <c r="M788">
        <v>3</v>
      </c>
      <c r="N788">
        <v>1</v>
      </c>
      <c r="O788">
        <v>1</v>
      </c>
      <c r="P788" t="s">
        <v>79</v>
      </c>
      <c r="Q788" t="s">
        <v>67</v>
      </c>
      <c r="R788">
        <v>0</v>
      </c>
      <c r="S788">
        <v>3</v>
      </c>
      <c r="T788" t="s">
        <v>79</v>
      </c>
      <c r="U788" t="s">
        <v>90</v>
      </c>
      <c r="V788" t="s">
        <v>91</v>
      </c>
      <c r="W788" s="3">
        <v>45552</v>
      </c>
      <c r="X788" t="b">
        <v>0</v>
      </c>
      <c r="Y788" t="b">
        <v>1</v>
      </c>
      <c r="Z788" t="s">
        <v>82</v>
      </c>
      <c r="AA788" t="s">
        <v>71</v>
      </c>
      <c r="AB788">
        <v>5</v>
      </c>
      <c r="AO788" t="str">
        <f t="shared" si="39"/>
        <v>26-40</v>
      </c>
      <c r="BD788">
        <v>4</v>
      </c>
      <c r="BF788" cm="1">
        <f t="array" ref="BF788">CORREL(J788:J1788,S788:S1788)</f>
        <v>-0.0262555592293518</v>
      </c>
      <c r="BH788">
        <v>3</v>
      </c>
      <c r="BI788">
        <f t="shared" si="40"/>
        <v>1.33333333333333</v>
      </c>
      <c r="BJ788">
        <f t="shared" si="41"/>
        <v>2.25</v>
      </c>
    </row>
    <row r="789" spans="1:62">
      <c r="A789" s="1">
        <v>660330540</v>
      </c>
      <c r="B789">
        <v>34</v>
      </c>
      <c r="C789" t="s">
        <v>73</v>
      </c>
      <c r="D789" t="s">
        <v>74</v>
      </c>
      <c r="E789" t="s">
        <v>98</v>
      </c>
      <c r="F789" t="s">
        <v>75</v>
      </c>
      <c r="G789" t="s">
        <v>60</v>
      </c>
      <c r="H789" t="s">
        <v>978</v>
      </c>
      <c r="I789" t="s">
        <v>95</v>
      </c>
      <c r="J789" s="2">
        <v>93.52</v>
      </c>
      <c r="K789">
        <v>2</v>
      </c>
      <c r="L789" t="s">
        <v>85</v>
      </c>
      <c r="M789">
        <v>1</v>
      </c>
      <c r="N789">
        <v>5</v>
      </c>
      <c r="O789">
        <v>1</v>
      </c>
      <c r="P789" t="s">
        <v>66</v>
      </c>
      <c r="Q789" t="s">
        <v>67</v>
      </c>
      <c r="R789">
        <v>1</v>
      </c>
      <c r="S789">
        <v>2</v>
      </c>
      <c r="T789" t="s">
        <v>74</v>
      </c>
      <c r="U789" t="s">
        <v>105</v>
      </c>
      <c r="V789" t="s">
        <v>81</v>
      </c>
      <c r="W789" s="3">
        <v>45516</v>
      </c>
      <c r="X789" t="b">
        <v>0</v>
      </c>
      <c r="Y789" t="b">
        <v>1</v>
      </c>
      <c r="Z789" t="s">
        <v>102</v>
      </c>
      <c r="AA789" t="s">
        <v>71</v>
      </c>
      <c r="AB789">
        <v>12</v>
      </c>
      <c r="AO789" t="str">
        <f t="shared" si="39"/>
        <v>26-40</v>
      </c>
      <c r="BD789">
        <v>2</v>
      </c>
      <c r="BF789" cm="1">
        <f t="array" ref="BF789">CORREL(J789:J1789,S789:S1789)</f>
        <v>-0.0273709854033079</v>
      </c>
      <c r="BH789">
        <v>2</v>
      </c>
      <c r="BI789">
        <f t="shared" si="40"/>
        <v>1</v>
      </c>
      <c r="BJ789">
        <f t="shared" si="41"/>
        <v>2</v>
      </c>
    </row>
    <row r="790" spans="1:62">
      <c r="A790" s="1">
        <v>996439845</v>
      </c>
      <c r="B790">
        <v>28</v>
      </c>
      <c r="C790" t="s">
        <v>59</v>
      </c>
      <c r="D790" t="s">
        <v>60</v>
      </c>
      <c r="E790" t="s">
        <v>61</v>
      </c>
      <c r="F790" t="s">
        <v>75</v>
      </c>
      <c r="G790" t="s">
        <v>74</v>
      </c>
      <c r="H790" t="s">
        <v>979</v>
      </c>
      <c r="I790" t="s">
        <v>156</v>
      </c>
      <c r="J790" s="2">
        <v>137.75</v>
      </c>
      <c r="K790">
        <v>6</v>
      </c>
      <c r="L790" t="s">
        <v>85</v>
      </c>
      <c r="M790">
        <v>3</v>
      </c>
      <c r="N790">
        <v>3</v>
      </c>
      <c r="O790">
        <v>2</v>
      </c>
      <c r="P790" t="s">
        <v>74</v>
      </c>
      <c r="Q790" t="s">
        <v>109</v>
      </c>
      <c r="R790">
        <v>0</v>
      </c>
      <c r="S790">
        <v>1</v>
      </c>
      <c r="T790" t="s">
        <v>79</v>
      </c>
      <c r="U790" t="s">
        <v>90</v>
      </c>
      <c r="V790" t="s">
        <v>110</v>
      </c>
      <c r="W790" s="3">
        <v>45544</v>
      </c>
      <c r="X790" t="b">
        <v>0</v>
      </c>
      <c r="Y790" t="b">
        <v>1</v>
      </c>
      <c r="Z790" t="s">
        <v>70</v>
      </c>
      <c r="AA790" t="s">
        <v>71</v>
      </c>
      <c r="AB790">
        <v>4</v>
      </c>
      <c r="AO790" t="str">
        <f t="shared" si="39"/>
        <v>26-40</v>
      </c>
      <c r="BD790">
        <v>6</v>
      </c>
      <c r="BF790" cm="1">
        <f t="array" ref="BF790">CORREL(J790:J1790,S790:S1790)</f>
        <v>-0.0360075463258396</v>
      </c>
      <c r="BH790">
        <v>1</v>
      </c>
      <c r="BI790">
        <f t="shared" si="40"/>
        <v>6</v>
      </c>
      <c r="BJ790">
        <f t="shared" si="41"/>
        <v>0.166666666666667</v>
      </c>
    </row>
    <row r="791" spans="1:62">
      <c r="A791" s="1">
        <v>275719402</v>
      </c>
      <c r="B791">
        <v>44</v>
      </c>
      <c r="C791" t="s">
        <v>59</v>
      </c>
      <c r="D791" t="s">
        <v>60</v>
      </c>
      <c r="E791" t="s">
        <v>61</v>
      </c>
      <c r="F791" t="s">
        <v>87</v>
      </c>
      <c r="G791" t="s">
        <v>60</v>
      </c>
      <c r="H791" t="s">
        <v>980</v>
      </c>
      <c r="I791" t="s">
        <v>95</v>
      </c>
      <c r="J791" s="2">
        <v>78.64</v>
      </c>
      <c r="K791">
        <v>5</v>
      </c>
      <c r="L791" t="s">
        <v>65</v>
      </c>
      <c r="M791">
        <v>3</v>
      </c>
      <c r="N791">
        <v>4</v>
      </c>
      <c r="O791">
        <v>2</v>
      </c>
      <c r="P791" t="s">
        <v>74</v>
      </c>
      <c r="Q791" t="s">
        <v>67</v>
      </c>
      <c r="R791">
        <v>0</v>
      </c>
      <c r="S791">
        <v>3</v>
      </c>
      <c r="T791" t="s">
        <v>74</v>
      </c>
      <c r="U791" t="s">
        <v>68</v>
      </c>
      <c r="V791" t="s">
        <v>81</v>
      </c>
      <c r="W791" s="3">
        <v>45438</v>
      </c>
      <c r="X791" t="b">
        <v>1</v>
      </c>
      <c r="Y791" t="b">
        <v>0</v>
      </c>
      <c r="Z791" t="s">
        <v>102</v>
      </c>
      <c r="AA791" t="s">
        <v>83</v>
      </c>
      <c r="AB791">
        <v>12</v>
      </c>
      <c r="AO791" t="str">
        <f t="shared" si="39"/>
        <v>41-60</v>
      </c>
      <c r="BD791">
        <v>5</v>
      </c>
      <c r="BF791" cm="1">
        <f t="array" ref="BF791">CORREL(J791:J1791,S791:S1791)</f>
        <v>-0.044754425065405</v>
      </c>
      <c r="BH791">
        <v>3</v>
      </c>
      <c r="BI791">
        <f t="shared" si="40"/>
        <v>1.66666666666667</v>
      </c>
      <c r="BJ791">
        <f t="shared" si="41"/>
        <v>1.8</v>
      </c>
    </row>
    <row r="792" spans="1:62">
      <c r="A792" s="1">
        <v>104305821</v>
      </c>
      <c r="B792">
        <v>25</v>
      </c>
      <c r="C792" t="s">
        <v>73</v>
      </c>
      <c r="D792" t="s">
        <v>74</v>
      </c>
      <c r="E792" t="s">
        <v>103</v>
      </c>
      <c r="F792" t="s">
        <v>87</v>
      </c>
      <c r="G792" t="s">
        <v>60</v>
      </c>
      <c r="H792" t="s">
        <v>981</v>
      </c>
      <c r="I792" t="s">
        <v>133</v>
      </c>
      <c r="J792" s="2">
        <v>214.82</v>
      </c>
      <c r="K792">
        <v>9</v>
      </c>
      <c r="L792" t="s">
        <v>65</v>
      </c>
      <c r="M792">
        <v>5</v>
      </c>
      <c r="N792">
        <v>4</v>
      </c>
      <c r="O792">
        <v>0.3</v>
      </c>
      <c r="P792" t="s">
        <v>66</v>
      </c>
      <c r="Q792" t="s">
        <v>109</v>
      </c>
      <c r="R792">
        <v>1</v>
      </c>
      <c r="S792">
        <v>9</v>
      </c>
      <c r="T792" t="s">
        <v>79</v>
      </c>
      <c r="U792" t="s">
        <v>68</v>
      </c>
      <c r="V792" t="s">
        <v>96</v>
      </c>
      <c r="W792" s="3">
        <v>45605</v>
      </c>
      <c r="X792" t="b">
        <v>1</v>
      </c>
      <c r="Y792" t="b">
        <v>0</v>
      </c>
      <c r="Z792" t="s">
        <v>102</v>
      </c>
      <c r="AA792" t="s">
        <v>71</v>
      </c>
      <c r="AB792">
        <v>11</v>
      </c>
      <c r="AO792" t="str">
        <f t="shared" si="39"/>
        <v>18-25</v>
      </c>
      <c r="BD792">
        <v>9</v>
      </c>
      <c r="BF792" cm="1">
        <f t="array" ref="BF792">CORREL(J792:J1792,S792:S1792)</f>
        <v>-0.0518181449860404</v>
      </c>
      <c r="BH792">
        <v>9</v>
      </c>
      <c r="BI792">
        <f t="shared" si="40"/>
        <v>1</v>
      </c>
      <c r="BJ792">
        <f t="shared" si="41"/>
        <v>9</v>
      </c>
    </row>
    <row r="793" spans="1:62">
      <c r="A793" s="1">
        <v>368357445</v>
      </c>
      <c r="B793">
        <v>45</v>
      </c>
      <c r="C793" t="s">
        <v>73</v>
      </c>
      <c r="D793" t="s">
        <v>60</v>
      </c>
      <c r="E793" t="s">
        <v>61</v>
      </c>
      <c r="F793" t="s">
        <v>62</v>
      </c>
      <c r="G793" t="s">
        <v>74</v>
      </c>
      <c r="H793" t="s">
        <v>982</v>
      </c>
      <c r="I793" t="s">
        <v>115</v>
      </c>
      <c r="J793" s="2">
        <v>57.39</v>
      </c>
      <c r="K793">
        <v>3</v>
      </c>
      <c r="L793" t="s">
        <v>65</v>
      </c>
      <c r="M793">
        <v>2</v>
      </c>
      <c r="N793">
        <v>5</v>
      </c>
      <c r="O793">
        <v>0.25</v>
      </c>
      <c r="P793" t="s">
        <v>66</v>
      </c>
      <c r="Q793" t="s">
        <v>67</v>
      </c>
      <c r="R793">
        <v>0</v>
      </c>
      <c r="S793">
        <v>10</v>
      </c>
      <c r="T793" t="s">
        <v>79</v>
      </c>
      <c r="U793" t="s">
        <v>105</v>
      </c>
      <c r="V793" t="s">
        <v>69</v>
      </c>
      <c r="W793" s="3">
        <v>45492</v>
      </c>
      <c r="X793" t="b">
        <v>0</v>
      </c>
      <c r="Y793" t="b">
        <v>0</v>
      </c>
      <c r="Z793" t="s">
        <v>92</v>
      </c>
      <c r="AA793" t="s">
        <v>83</v>
      </c>
      <c r="AB793">
        <v>3</v>
      </c>
      <c r="AO793" t="str">
        <f t="shared" si="39"/>
        <v>41-60</v>
      </c>
      <c r="BD793">
        <v>3</v>
      </c>
      <c r="BF793" cm="1">
        <f t="array" ref="BF793">CORREL(J793:J1793,S793:S1793)</f>
        <v>-0.0489032804241331</v>
      </c>
      <c r="BH793">
        <v>10</v>
      </c>
      <c r="BI793">
        <f t="shared" si="40"/>
        <v>0.3</v>
      </c>
      <c r="BJ793">
        <f t="shared" si="41"/>
        <v>33.3333333333333</v>
      </c>
    </row>
    <row r="794" spans="1:62">
      <c r="A794" s="1">
        <v>416024042</v>
      </c>
      <c r="B794">
        <v>47</v>
      </c>
      <c r="C794" t="s">
        <v>59</v>
      </c>
      <c r="D794" t="s">
        <v>74</v>
      </c>
      <c r="E794" t="s">
        <v>86</v>
      </c>
      <c r="F794" t="s">
        <v>75</v>
      </c>
      <c r="G794" t="s">
        <v>60</v>
      </c>
      <c r="H794" t="s">
        <v>247</v>
      </c>
      <c r="I794" t="s">
        <v>174</v>
      </c>
      <c r="J794" s="2">
        <v>363.91</v>
      </c>
      <c r="K794">
        <v>10</v>
      </c>
      <c r="L794" t="s">
        <v>85</v>
      </c>
      <c r="M794">
        <v>1</v>
      </c>
      <c r="N794">
        <v>1</v>
      </c>
      <c r="O794">
        <v>0.3</v>
      </c>
      <c r="P794" t="s">
        <v>79</v>
      </c>
      <c r="Q794" t="s">
        <v>109</v>
      </c>
      <c r="R794">
        <v>0</v>
      </c>
      <c r="S794">
        <v>2</v>
      </c>
      <c r="T794" t="s">
        <v>84</v>
      </c>
      <c r="U794" t="s">
        <v>90</v>
      </c>
      <c r="V794" t="s">
        <v>110</v>
      </c>
      <c r="W794" s="3">
        <v>45298</v>
      </c>
      <c r="X794" t="b">
        <v>1</v>
      </c>
      <c r="Y794" t="b">
        <v>1</v>
      </c>
      <c r="Z794" t="s">
        <v>102</v>
      </c>
      <c r="AA794" t="s">
        <v>83</v>
      </c>
      <c r="AB794">
        <v>9</v>
      </c>
      <c r="AO794" t="str">
        <f t="shared" si="39"/>
        <v>41-60</v>
      </c>
      <c r="BD794">
        <v>10</v>
      </c>
      <c r="BF794" cm="1">
        <f t="array" ref="BF794">CORREL(J794:J1794,S794:S1794)</f>
        <v>-0.0359049098642929</v>
      </c>
      <c r="BH794">
        <v>2</v>
      </c>
      <c r="BI794">
        <f t="shared" si="40"/>
        <v>5</v>
      </c>
      <c r="BJ794">
        <f t="shared" si="41"/>
        <v>0.4</v>
      </c>
    </row>
    <row r="795" spans="1:62">
      <c r="A795" s="1">
        <v>637436962</v>
      </c>
      <c r="B795">
        <v>39</v>
      </c>
      <c r="C795" t="s">
        <v>73</v>
      </c>
      <c r="D795" t="s">
        <v>60</v>
      </c>
      <c r="E795" t="s">
        <v>86</v>
      </c>
      <c r="F795" t="s">
        <v>75</v>
      </c>
      <c r="G795" t="s">
        <v>60</v>
      </c>
      <c r="H795" t="s">
        <v>983</v>
      </c>
      <c r="I795" t="s">
        <v>178</v>
      </c>
      <c r="J795" s="2">
        <v>304.79</v>
      </c>
      <c r="K795">
        <v>12</v>
      </c>
      <c r="L795" t="s">
        <v>78</v>
      </c>
      <c r="M795">
        <v>2</v>
      </c>
      <c r="N795">
        <v>4</v>
      </c>
      <c r="O795">
        <v>2</v>
      </c>
      <c r="P795" t="s">
        <v>84</v>
      </c>
      <c r="Q795" t="s">
        <v>67</v>
      </c>
      <c r="R795">
        <v>1</v>
      </c>
      <c r="S795">
        <v>9</v>
      </c>
      <c r="T795" t="s">
        <v>74</v>
      </c>
      <c r="U795" t="s">
        <v>105</v>
      </c>
      <c r="V795" t="s">
        <v>96</v>
      </c>
      <c r="W795" s="3">
        <v>45298</v>
      </c>
      <c r="X795" t="b">
        <v>1</v>
      </c>
      <c r="Y795" t="b">
        <v>1</v>
      </c>
      <c r="Z795" t="s">
        <v>82</v>
      </c>
      <c r="AA795" t="s">
        <v>83</v>
      </c>
      <c r="AB795">
        <v>10</v>
      </c>
      <c r="AO795" t="str">
        <f t="shared" si="39"/>
        <v>26-40</v>
      </c>
      <c r="BD795">
        <v>12</v>
      </c>
      <c r="BF795" cm="1">
        <f t="array" ref="BF795">CORREL(J795:J1795,S795:S1795)</f>
        <v>-0.0323313583941996</v>
      </c>
      <c r="BH795">
        <v>9</v>
      </c>
      <c r="BI795">
        <f t="shared" si="40"/>
        <v>1.33333333333333</v>
      </c>
      <c r="BJ795">
        <f t="shared" si="41"/>
        <v>6.75</v>
      </c>
    </row>
    <row r="796" spans="1:62">
      <c r="A796" s="1">
        <v>667729922</v>
      </c>
      <c r="B796">
        <v>32</v>
      </c>
      <c r="C796" t="s">
        <v>73</v>
      </c>
      <c r="D796" t="s">
        <v>74</v>
      </c>
      <c r="E796" t="s">
        <v>103</v>
      </c>
      <c r="F796" t="s">
        <v>75</v>
      </c>
      <c r="G796" t="s">
        <v>60</v>
      </c>
      <c r="H796" t="s">
        <v>984</v>
      </c>
      <c r="I796" t="s">
        <v>209</v>
      </c>
      <c r="J796" s="2">
        <v>363.98</v>
      </c>
      <c r="K796">
        <v>4</v>
      </c>
      <c r="L796" t="s">
        <v>85</v>
      </c>
      <c r="M796">
        <v>4</v>
      </c>
      <c r="N796">
        <v>4</v>
      </c>
      <c r="O796">
        <v>1</v>
      </c>
      <c r="P796" t="s">
        <v>66</v>
      </c>
      <c r="Q796" t="s">
        <v>67</v>
      </c>
      <c r="R796">
        <v>2</v>
      </c>
      <c r="S796">
        <v>7</v>
      </c>
      <c r="T796" t="s">
        <v>66</v>
      </c>
      <c r="U796" t="s">
        <v>68</v>
      </c>
      <c r="V796" t="s">
        <v>81</v>
      </c>
      <c r="W796" s="3">
        <v>45439</v>
      </c>
      <c r="X796" t="b">
        <v>1</v>
      </c>
      <c r="Y796" t="b">
        <v>1</v>
      </c>
      <c r="Z796" t="s">
        <v>102</v>
      </c>
      <c r="AA796" t="s">
        <v>97</v>
      </c>
      <c r="AB796">
        <v>1</v>
      </c>
      <c r="AO796" t="str">
        <f t="shared" ref="AO796:AO859" si="42">IF(B796&lt;=25,"18-25",IF(B796&lt;=40,"26-40",IF(B796&lt;=60,"41-60","Above60")))</f>
        <v>26-40</v>
      </c>
      <c r="BD796">
        <v>4</v>
      </c>
      <c r="BF796" cm="1">
        <f t="array" ref="BF796">CORREL(J796:J1796,S796:S1796)</f>
        <v>-0.0334573823365272</v>
      </c>
      <c r="BH796">
        <v>7</v>
      </c>
      <c r="BI796">
        <f t="shared" si="40"/>
        <v>0.571428571428571</v>
      </c>
      <c r="BJ796">
        <f t="shared" si="41"/>
        <v>12.25</v>
      </c>
    </row>
    <row r="797" spans="1:62">
      <c r="A797" s="1">
        <v>232465927</v>
      </c>
      <c r="B797">
        <v>47</v>
      </c>
      <c r="C797" t="s">
        <v>73</v>
      </c>
      <c r="D797" t="s">
        <v>60</v>
      </c>
      <c r="E797" t="s">
        <v>98</v>
      </c>
      <c r="F797" t="s">
        <v>62</v>
      </c>
      <c r="G797" t="s">
        <v>74</v>
      </c>
      <c r="H797" t="s">
        <v>985</v>
      </c>
      <c r="I797" t="s">
        <v>107</v>
      </c>
      <c r="J797" s="2">
        <v>249.6</v>
      </c>
      <c r="K797">
        <v>7</v>
      </c>
      <c r="L797" t="s">
        <v>65</v>
      </c>
      <c r="M797">
        <v>4</v>
      </c>
      <c r="N797">
        <v>1</v>
      </c>
      <c r="O797">
        <v>1</v>
      </c>
      <c r="P797" t="s">
        <v>84</v>
      </c>
      <c r="Q797" t="s">
        <v>67</v>
      </c>
      <c r="R797">
        <v>2</v>
      </c>
      <c r="S797">
        <v>7</v>
      </c>
      <c r="T797" t="s">
        <v>74</v>
      </c>
      <c r="U797" t="s">
        <v>90</v>
      </c>
      <c r="V797" t="s">
        <v>91</v>
      </c>
      <c r="W797" s="3">
        <v>45423</v>
      </c>
      <c r="X797" t="b">
        <v>1</v>
      </c>
      <c r="Y797" t="b">
        <v>0</v>
      </c>
      <c r="Z797" t="s">
        <v>82</v>
      </c>
      <c r="AA797" t="s">
        <v>83</v>
      </c>
      <c r="AB797">
        <v>11</v>
      </c>
      <c r="AO797" t="str">
        <f t="shared" si="42"/>
        <v>41-60</v>
      </c>
      <c r="BD797">
        <v>7</v>
      </c>
      <c r="BF797" cm="1">
        <f t="array" ref="BF797">CORREL(J797:J1797,S797:S1797)</f>
        <v>-0.035175830024974</v>
      </c>
      <c r="BH797">
        <v>7</v>
      </c>
      <c r="BI797">
        <f t="shared" si="40"/>
        <v>1</v>
      </c>
      <c r="BJ797">
        <f t="shared" si="41"/>
        <v>7</v>
      </c>
    </row>
    <row r="798" spans="1:62">
      <c r="A798" s="1">
        <v>740227557</v>
      </c>
      <c r="B798">
        <v>19</v>
      </c>
      <c r="C798" t="s">
        <v>73</v>
      </c>
      <c r="D798" t="s">
        <v>74</v>
      </c>
      <c r="E798" t="s">
        <v>61</v>
      </c>
      <c r="F798" t="s">
        <v>62</v>
      </c>
      <c r="G798" t="s">
        <v>60</v>
      </c>
      <c r="H798" t="s">
        <v>986</v>
      </c>
      <c r="I798" t="s">
        <v>131</v>
      </c>
      <c r="J798" s="2">
        <v>345.04</v>
      </c>
      <c r="K798">
        <v>12</v>
      </c>
      <c r="L798" t="s">
        <v>78</v>
      </c>
      <c r="M798">
        <v>1</v>
      </c>
      <c r="N798">
        <v>5</v>
      </c>
      <c r="O798">
        <v>1</v>
      </c>
      <c r="P798" t="s">
        <v>84</v>
      </c>
      <c r="Q798" t="s">
        <v>67</v>
      </c>
      <c r="R798">
        <v>0</v>
      </c>
      <c r="S798">
        <v>8</v>
      </c>
      <c r="T798" t="s">
        <v>79</v>
      </c>
      <c r="U798" t="s">
        <v>68</v>
      </c>
      <c r="V798" t="s">
        <v>69</v>
      </c>
      <c r="W798" s="3">
        <v>45581</v>
      </c>
      <c r="X798" t="b">
        <v>1</v>
      </c>
      <c r="Y798" t="b">
        <v>1</v>
      </c>
      <c r="Z798" t="s">
        <v>102</v>
      </c>
      <c r="AA798" t="s">
        <v>97</v>
      </c>
      <c r="AB798">
        <v>13</v>
      </c>
      <c r="AO798" t="str">
        <f t="shared" si="42"/>
        <v>18-25</v>
      </c>
      <c r="BD798">
        <v>12</v>
      </c>
      <c r="BF798" cm="1">
        <f t="array" ref="BF798">CORREL(J798:J1798,S798:S1798)</f>
        <v>-0.0345051819827923</v>
      </c>
      <c r="BH798">
        <v>8</v>
      </c>
      <c r="BI798">
        <f t="shared" si="40"/>
        <v>1.5</v>
      </c>
      <c r="BJ798">
        <f t="shared" si="41"/>
        <v>5.33333333333333</v>
      </c>
    </row>
    <row r="799" spans="1:62">
      <c r="A799" s="1">
        <v>782145658</v>
      </c>
      <c r="B799">
        <v>48</v>
      </c>
      <c r="C799" t="s">
        <v>59</v>
      </c>
      <c r="D799" t="s">
        <v>60</v>
      </c>
      <c r="E799" t="s">
        <v>86</v>
      </c>
      <c r="F799" t="s">
        <v>75</v>
      </c>
      <c r="G799" t="s">
        <v>74</v>
      </c>
      <c r="H799" t="s">
        <v>987</v>
      </c>
      <c r="I799" t="s">
        <v>143</v>
      </c>
      <c r="J799" s="2">
        <v>59.15</v>
      </c>
      <c r="K799">
        <v>3</v>
      </c>
      <c r="L799" t="s">
        <v>78</v>
      </c>
      <c r="M799">
        <v>4</v>
      </c>
      <c r="N799">
        <v>2</v>
      </c>
      <c r="O799">
        <v>1</v>
      </c>
      <c r="P799" t="s">
        <v>66</v>
      </c>
      <c r="Q799" t="s">
        <v>80</v>
      </c>
      <c r="R799">
        <v>0</v>
      </c>
      <c r="S799">
        <v>1</v>
      </c>
      <c r="T799" t="s">
        <v>74</v>
      </c>
      <c r="U799" t="s">
        <v>105</v>
      </c>
      <c r="V799" t="s">
        <v>91</v>
      </c>
      <c r="W799" s="3">
        <v>45401</v>
      </c>
      <c r="X799" t="b">
        <v>0</v>
      </c>
      <c r="Y799" t="b">
        <v>0</v>
      </c>
      <c r="Z799" t="s">
        <v>70</v>
      </c>
      <c r="AA799" t="s">
        <v>83</v>
      </c>
      <c r="AB799">
        <v>8</v>
      </c>
      <c r="AO799" t="str">
        <f t="shared" si="42"/>
        <v>41-60</v>
      </c>
      <c r="BD799">
        <v>3</v>
      </c>
      <c r="BF799" cm="1">
        <f t="array" ref="BF799">CORREL(J799:J1799,S799:S1799)</f>
        <v>-0.0367267205965011</v>
      </c>
      <c r="BH799">
        <v>1</v>
      </c>
      <c r="BI799">
        <f t="shared" si="40"/>
        <v>3</v>
      </c>
      <c r="BJ799">
        <f t="shared" si="41"/>
        <v>0.333333333333333</v>
      </c>
    </row>
    <row r="800" spans="1:62">
      <c r="A800" s="1">
        <v>252868786</v>
      </c>
      <c r="B800">
        <v>27</v>
      </c>
      <c r="C800" t="s">
        <v>73</v>
      </c>
      <c r="D800" t="s">
        <v>74</v>
      </c>
      <c r="E800" t="s">
        <v>86</v>
      </c>
      <c r="F800" t="s">
        <v>87</v>
      </c>
      <c r="G800" t="s">
        <v>74</v>
      </c>
      <c r="H800" t="s">
        <v>988</v>
      </c>
      <c r="I800" t="s">
        <v>95</v>
      </c>
      <c r="J800" s="2">
        <v>461.81</v>
      </c>
      <c r="K800">
        <v>12</v>
      </c>
      <c r="L800" t="s">
        <v>65</v>
      </c>
      <c r="M800">
        <v>4</v>
      </c>
      <c r="N800">
        <v>3</v>
      </c>
      <c r="O800">
        <v>0</v>
      </c>
      <c r="P800" t="s">
        <v>79</v>
      </c>
      <c r="Q800" t="s">
        <v>109</v>
      </c>
      <c r="R800">
        <v>0</v>
      </c>
      <c r="S800">
        <v>8</v>
      </c>
      <c r="T800" t="s">
        <v>84</v>
      </c>
      <c r="U800" t="s">
        <v>105</v>
      </c>
      <c r="V800" t="s">
        <v>96</v>
      </c>
      <c r="W800" s="3">
        <v>45450</v>
      </c>
      <c r="X800" t="b">
        <v>1</v>
      </c>
      <c r="Y800" t="b">
        <v>0</v>
      </c>
      <c r="Z800" t="s">
        <v>82</v>
      </c>
      <c r="AA800" t="s">
        <v>71</v>
      </c>
      <c r="AB800">
        <v>8</v>
      </c>
      <c r="AO800" t="str">
        <f t="shared" si="42"/>
        <v>26-40</v>
      </c>
      <c r="BD800">
        <v>12</v>
      </c>
      <c r="BF800" cm="1">
        <f t="array" ref="BF800">CORREL(J800:J1800,S800:S1800)</f>
        <v>-0.0510141883652603</v>
      </c>
      <c r="BH800">
        <v>8</v>
      </c>
      <c r="BI800">
        <f t="shared" si="40"/>
        <v>1.5</v>
      </c>
      <c r="BJ800">
        <f t="shared" si="41"/>
        <v>5.33333333333333</v>
      </c>
    </row>
    <row r="801" spans="1:62">
      <c r="A801" s="1">
        <v>559559889</v>
      </c>
      <c r="B801">
        <v>31</v>
      </c>
      <c r="C801" t="s">
        <v>59</v>
      </c>
      <c r="D801" t="s">
        <v>74</v>
      </c>
      <c r="E801" t="s">
        <v>103</v>
      </c>
      <c r="F801" t="s">
        <v>62</v>
      </c>
      <c r="G801" t="s">
        <v>74</v>
      </c>
      <c r="H801" t="s">
        <v>989</v>
      </c>
      <c r="I801" t="s">
        <v>122</v>
      </c>
      <c r="J801" s="2">
        <v>280.88</v>
      </c>
      <c r="K801">
        <v>4</v>
      </c>
      <c r="L801" t="s">
        <v>65</v>
      </c>
      <c r="M801">
        <v>3</v>
      </c>
      <c r="N801">
        <v>4</v>
      </c>
      <c r="O801">
        <v>1</v>
      </c>
      <c r="P801" t="s">
        <v>74</v>
      </c>
      <c r="Q801" t="s">
        <v>80</v>
      </c>
      <c r="R801">
        <v>0</v>
      </c>
      <c r="S801">
        <v>2</v>
      </c>
      <c r="T801" t="s">
        <v>74</v>
      </c>
      <c r="U801" t="s">
        <v>90</v>
      </c>
      <c r="V801" t="s">
        <v>69</v>
      </c>
      <c r="W801" s="3">
        <v>45417</v>
      </c>
      <c r="X801" t="b">
        <v>1</v>
      </c>
      <c r="Y801" t="b">
        <v>1</v>
      </c>
      <c r="Z801" t="s">
        <v>102</v>
      </c>
      <c r="AA801" t="s">
        <v>71</v>
      </c>
      <c r="AB801">
        <v>2</v>
      </c>
      <c r="AO801" t="str">
        <f t="shared" si="42"/>
        <v>26-40</v>
      </c>
      <c r="BD801">
        <v>4</v>
      </c>
      <c r="BF801" cm="1">
        <f t="array" ref="BF801">CORREL(J801:J1801,S801:S1801)</f>
        <v>-0.0576102231735549</v>
      </c>
      <c r="BH801">
        <v>2</v>
      </c>
      <c r="BI801">
        <f t="shared" si="40"/>
        <v>2</v>
      </c>
      <c r="BJ801">
        <f t="shared" si="41"/>
        <v>1</v>
      </c>
    </row>
    <row r="802" spans="1:62">
      <c r="A802" s="1">
        <v>342373943</v>
      </c>
      <c r="B802">
        <v>44</v>
      </c>
      <c r="C802" t="s">
        <v>73</v>
      </c>
      <c r="D802" t="s">
        <v>60</v>
      </c>
      <c r="E802" t="s">
        <v>61</v>
      </c>
      <c r="F802" t="s">
        <v>87</v>
      </c>
      <c r="G802" t="s">
        <v>60</v>
      </c>
      <c r="H802" t="s">
        <v>990</v>
      </c>
      <c r="I802" t="s">
        <v>118</v>
      </c>
      <c r="J802" s="2">
        <v>283.7</v>
      </c>
      <c r="K802">
        <v>8</v>
      </c>
      <c r="L802" t="s">
        <v>65</v>
      </c>
      <c r="M802">
        <v>2</v>
      </c>
      <c r="N802">
        <v>5</v>
      </c>
      <c r="O802">
        <v>1</v>
      </c>
      <c r="P802" t="s">
        <v>79</v>
      </c>
      <c r="Q802" t="s">
        <v>80</v>
      </c>
      <c r="R802">
        <v>1</v>
      </c>
      <c r="S802">
        <v>3</v>
      </c>
      <c r="T802" t="s">
        <v>84</v>
      </c>
      <c r="U802" t="s">
        <v>90</v>
      </c>
      <c r="V802" t="s">
        <v>110</v>
      </c>
      <c r="W802" s="3">
        <v>45351</v>
      </c>
      <c r="X802" t="b">
        <v>0</v>
      </c>
      <c r="Y802" t="b">
        <v>0</v>
      </c>
      <c r="Z802" t="s">
        <v>92</v>
      </c>
      <c r="AA802" t="s">
        <v>97</v>
      </c>
      <c r="AB802">
        <v>8</v>
      </c>
      <c r="AO802" t="str">
        <f t="shared" si="42"/>
        <v>41-60</v>
      </c>
      <c r="BD802">
        <v>8</v>
      </c>
      <c r="BF802" cm="1">
        <f t="array" ref="BF802">CORREL(J802:J1802,S802:S1802)</f>
        <v>-0.0579591187833535</v>
      </c>
      <c r="BH802">
        <v>3</v>
      </c>
      <c r="BI802">
        <f t="shared" si="40"/>
        <v>2.66666666666667</v>
      </c>
      <c r="BJ802">
        <f t="shared" si="41"/>
        <v>1.125</v>
      </c>
    </row>
    <row r="803" spans="1:62">
      <c r="A803" s="1">
        <v>193869088</v>
      </c>
      <c r="B803">
        <v>24</v>
      </c>
      <c r="C803" t="s">
        <v>59</v>
      </c>
      <c r="D803" t="s">
        <v>74</v>
      </c>
      <c r="E803" t="s">
        <v>98</v>
      </c>
      <c r="F803" t="s">
        <v>75</v>
      </c>
      <c r="G803" t="s">
        <v>60</v>
      </c>
      <c r="H803" t="s">
        <v>991</v>
      </c>
      <c r="I803" t="s">
        <v>118</v>
      </c>
      <c r="J803" s="2">
        <v>411.95</v>
      </c>
      <c r="K803">
        <v>10</v>
      </c>
      <c r="L803" t="s">
        <v>78</v>
      </c>
      <c r="M803">
        <v>5</v>
      </c>
      <c r="N803">
        <v>3</v>
      </c>
      <c r="O803">
        <v>1</v>
      </c>
      <c r="P803" t="s">
        <v>66</v>
      </c>
      <c r="Q803" t="s">
        <v>80</v>
      </c>
      <c r="R803">
        <v>0</v>
      </c>
      <c r="S803">
        <v>4</v>
      </c>
      <c r="T803" t="s">
        <v>66</v>
      </c>
      <c r="U803" t="s">
        <v>90</v>
      </c>
      <c r="V803" t="s">
        <v>81</v>
      </c>
      <c r="W803" s="3">
        <v>45644</v>
      </c>
      <c r="X803" t="b">
        <v>1</v>
      </c>
      <c r="Y803" t="b">
        <v>1</v>
      </c>
      <c r="Z803" t="s">
        <v>92</v>
      </c>
      <c r="AA803" t="s">
        <v>83</v>
      </c>
      <c r="AB803">
        <v>5</v>
      </c>
      <c r="AO803" t="str">
        <f t="shared" si="42"/>
        <v>18-25</v>
      </c>
      <c r="BD803">
        <v>10</v>
      </c>
      <c r="BF803" cm="1">
        <f t="array" ref="BF803">CORREL(J803:J1803,S803:S1803)</f>
        <v>-0.0580669854956107</v>
      </c>
      <c r="BH803">
        <v>4</v>
      </c>
      <c r="BI803">
        <f t="shared" si="40"/>
        <v>2.5</v>
      </c>
      <c r="BJ803">
        <f t="shared" si="41"/>
        <v>1.6</v>
      </c>
    </row>
    <row r="804" spans="1:62">
      <c r="A804" s="1">
        <v>165832801</v>
      </c>
      <c r="B804">
        <v>32</v>
      </c>
      <c r="C804" t="s">
        <v>59</v>
      </c>
      <c r="D804" t="s">
        <v>60</v>
      </c>
      <c r="E804" t="s">
        <v>98</v>
      </c>
      <c r="F804" t="s">
        <v>87</v>
      </c>
      <c r="G804" t="s">
        <v>60</v>
      </c>
      <c r="H804" t="s">
        <v>992</v>
      </c>
      <c r="I804" t="s">
        <v>64</v>
      </c>
      <c r="J804" s="2">
        <v>476.11</v>
      </c>
      <c r="K804">
        <v>5</v>
      </c>
      <c r="L804" t="s">
        <v>78</v>
      </c>
      <c r="M804">
        <v>1</v>
      </c>
      <c r="N804">
        <v>4</v>
      </c>
      <c r="O804">
        <v>1</v>
      </c>
      <c r="P804" t="s">
        <v>66</v>
      </c>
      <c r="Q804" t="s">
        <v>109</v>
      </c>
      <c r="R804">
        <v>2</v>
      </c>
      <c r="S804">
        <v>10</v>
      </c>
      <c r="T804" t="s">
        <v>74</v>
      </c>
      <c r="U804" t="s">
        <v>105</v>
      </c>
      <c r="V804" t="s">
        <v>91</v>
      </c>
      <c r="W804" s="3">
        <v>45594</v>
      </c>
      <c r="X804" t="b">
        <v>1</v>
      </c>
      <c r="Y804" t="b">
        <v>0</v>
      </c>
      <c r="Z804" t="s">
        <v>82</v>
      </c>
      <c r="AA804" t="s">
        <v>83</v>
      </c>
      <c r="AB804">
        <v>1</v>
      </c>
      <c r="AO804" t="str">
        <f t="shared" si="42"/>
        <v>26-40</v>
      </c>
      <c r="BD804">
        <v>5</v>
      </c>
      <c r="BF804" cm="1">
        <f t="array" ref="BF804">CORREL(J804:J1804,S804:S1804)</f>
        <v>-0.055566735427612</v>
      </c>
      <c r="BH804">
        <v>10</v>
      </c>
      <c r="BI804">
        <f t="shared" si="40"/>
        <v>0.5</v>
      </c>
      <c r="BJ804">
        <f t="shared" si="41"/>
        <v>20</v>
      </c>
    </row>
    <row r="805" spans="1:62">
      <c r="A805" s="1">
        <v>837525439</v>
      </c>
      <c r="B805">
        <v>28</v>
      </c>
      <c r="C805" t="s">
        <v>59</v>
      </c>
      <c r="D805" t="s">
        <v>60</v>
      </c>
      <c r="E805" t="s">
        <v>61</v>
      </c>
      <c r="F805" t="s">
        <v>87</v>
      </c>
      <c r="G805" t="s">
        <v>74</v>
      </c>
      <c r="H805" t="s">
        <v>993</v>
      </c>
      <c r="I805" t="s">
        <v>64</v>
      </c>
      <c r="J805" s="2">
        <v>399.24</v>
      </c>
      <c r="K805">
        <v>7</v>
      </c>
      <c r="L805" t="s">
        <v>78</v>
      </c>
      <c r="M805">
        <v>4</v>
      </c>
      <c r="N805">
        <v>2</v>
      </c>
      <c r="O805">
        <v>1</v>
      </c>
      <c r="P805" t="s">
        <v>79</v>
      </c>
      <c r="Q805" t="s">
        <v>109</v>
      </c>
      <c r="R805">
        <v>1</v>
      </c>
      <c r="S805">
        <v>2</v>
      </c>
      <c r="T805" t="s">
        <v>79</v>
      </c>
      <c r="U805" t="s">
        <v>90</v>
      </c>
      <c r="V805" t="s">
        <v>91</v>
      </c>
      <c r="W805" s="3">
        <v>45464</v>
      </c>
      <c r="X805" t="b">
        <v>0</v>
      </c>
      <c r="Y805" t="b">
        <v>0</v>
      </c>
      <c r="Z805" t="s">
        <v>70</v>
      </c>
      <c r="AA805" t="s">
        <v>83</v>
      </c>
      <c r="AB805">
        <v>10</v>
      </c>
      <c r="AO805" t="str">
        <f t="shared" si="42"/>
        <v>26-40</v>
      </c>
      <c r="BD805">
        <v>7</v>
      </c>
      <c r="BF805" cm="1">
        <f t="array" ref="BF805">CORREL(J805:J1805,S805:S1805)</f>
        <v>-0.0686472015434409</v>
      </c>
      <c r="BH805">
        <v>2</v>
      </c>
      <c r="BI805">
        <f t="shared" si="40"/>
        <v>3.5</v>
      </c>
      <c r="BJ805">
        <f t="shared" si="41"/>
        <v>0.571428571428571</v>
      </c>
    </row>
    <row r="806" spans="1:62">
      <c r="A806" s="1">
        <v>254852023</v>
      </c>
      <c r="B806">
        <v>26</v>
      </c>
      <c r="C806" t="s">
        <v>73</v>
      </c>
      <c r="D806" t="s">
        <v>60</v>
      </c>
      <c r="E806" t="s">
        <v>103</v>
      </c>
      <c r="F806" t="s">
        <v>87</v>
      </c>
      <c r="G806" t="s">
        <v>60</v>
      </c>
      <c r="H806" t="s">
        <v>994</v>
      </c>
      <c r="I806" t="s">
        <v>209</v>
      </c>
      <c r="J806" s="2">
        <v>90.79</v>
      </c>
      <c r="K806">
        <v>12</v>
      </c>
      <c r="L806" t="s">
        <v>78</v>
      </c>
      <c r="M806">
        <v>4</v>
      </c>
      <c r="N806">
        <v>1</v>
      </c>
      <c r="O806">
        <v>2</v>
      </c>
      <c r="P806" t="s">
        <v>79</v>
      </c>
      <c r="Q806" t="s">
        <v>67</v>
      </c>
      <c r="R806">
        <v>0</v>
      </c>
      <c r="S806">
        <v>2</v>
      </c>
      <c r="T806" t="s">
        <v>79</v>
      </c>
      <c r="U806" t="s">
        <v>68</v>
      </c>
      <c r="V806" t="s">
        <v>96</v>
      </c>
      <c r="W806" s="3">
        <v>45551</v>
      </c>
      <c r="X806" t="b">
        <v>0</v>
      </c>
      <c r="Y806" t="b">
        <v>0</v>
      </c>
      <c r="Z806" t="s">
        <v>102</v>
      </c>
      <c r="AA806" t="s">
        <v>71</v>
      </c>
      <c r="AB806">
        <v>6</v>
      </c>
      <c r="AO806" t="str">
        <f t="shared" si="42"/>
        <v>26-40</v>
      </c>
      <c r="BD806">
        <v>12</v>
      </c>
      <c r="BF806" cm="1">
        <f t="array" ref="BF806">CORREL(J806:J1806,S806:S1806)</f>
        <v>-0.0632340856029991</v>
      </c>
      <c r="BH806">
        <v>2</v>
      </c>
      <c r="BI806">
        <f t="shared" si="40"/>
        <v>6</v>
      </c>
      <c r="BJ806">
        <f t="shared" si="41"/>
        <v>0.333333333333333</v>
      </c>
    </row>
    <row r="807" spans="1:62">
      <c r="A807" s="1">
        <v>908227664</v>
      </c>
      <c r="B807">
        <v>38</v>
      </c>
      <c r="C807" t="s">
        <v>59</v>
      </c>
      <c r="D807" t="s">
        <v>60</v>
      </c>
      <c r="E807" t="s">
        <v>61</v>
      </c>
      <c r="F807" t="s">
        <v>87</v>
      </c>
      <c r="G807" t="s">
        <v>60</v>
      </c>
      <c r="H807" t="s">
        <v>995</v>
      </c>
      <c r="I807" t="s">
        <v>120</v>
      </c>
      <c r="J807" s="2">
        <v>229.56</v>
      </c>
      <c r="K807">
        <v>9</v>
      </c>
      <c r="L807" t="s">
        <v>85</v>
      </c>
      <c r="M807">
        <v>1</v>
      </c>
      <c r="N807">
        <v>2</v>
      </c>
      <c r="O807">
        <v>1</v>
      </c>
      <c r="P807" t="s">
        <v>66</v>
      </c>
      <c r="Q807" t="s">
        <v>67</v>
      </c>
      <c r="R807">
        <v>0</v>
      </c>
      <c r="S807">
        <v>9</v>
      </c>
      <c r="T807" t="s">
        <v>84</v>
      </c>
      <c r="U807" t="s">
        <v>68</v>
      </c>
      <c r="V807" t="s">
        <v>81</v>
      </c>
      <c r="W807" s="3">
        <v>45305</v>
      </c>
      <c r="X807" t="b">
        <v>1</v>
      </c>
      <c r="Y807" t="b">
        <v>1</v>
      </c>
      <c r="Z807" t="s">
        <v>70</v>
      </c>
      <c r="AA807" t="s">
        <v>71</v>
      </c>
      <c r="AB807">
        <v>11</v>
      </c>
      <c r="AO807" t="str">
        <f t="shared" si="42"/>
        <v>26-40</v>
      </c>
      <c r="BD807">
        <v>9</v>
      </c>
      <c r="BF807" cm="1">
        <f t="array" ref="BF807">CORREL(J807:J1807,S807:S1807)</f>
        <v>-0.0734511249988225</v>
      </c>
      <c r="BH807">
        <v>9</v>
      </c>
      <c r="BI807">
        <f t="shared" si="40"/>
        <v>1</v>
      </c>
      <c r="BJ807">
        <f t="shared" si="41"/>
        <v>9</v>
      </c>
    </row>
    <row r="808" spans="1:62">
      <c r="A808" s="1">
        <v>220396819</v>
      </c>
      <c r="B808">
        <v>28</v>
      </c>
      <c r="C808" t="s">
        <v>59</v>
      </c>
      <c r="D808" t="s">
        <v>60</v>
      </c>
      <c r="E808" t="s">
        <v>103</v>
      </c>
      <c r="F808" t="s">
        <v>75</v>
      </c>
      <c r="G808" t="s">
        <v>60</v>
      </c>
      <c r="H808" t="s">
        <v>996</v>
      </c>
      <c r="I808" t="s">
        <v>113</v>
      </c>
      <c r="J808" s="2">
        <v>160.47</v>
      </c>
      <c r="K808">
        <v>7</v>
      </c>
      <c r="L808" t="s">
        <v>65</v>
      </c>
      <c r="M808">
        <v>1</v>
      </c>
      <c r="N808">
        <v>5</v>
      </c>
      <c r="O808">
        <v>0</v>
      </c>
      <c r="P808" t="s">
        <v>66</v>
      </c>
      <c r="Q808" t="s">
        <v>80</v>
      </c>
      <c r="R808">
        <v>0</v>
      </c>
      <c r="S808">
        <v>3</v>
      </c>
      <c r="T808" t="s">
        <v>66</v>
      </c>
      <c r="U808" t="s">
        <v>90</v>
      </c>
      <c r="V808" t="s">
        <v>91</v>
      </c>
      <c r="W808" s="3">
        <v>45368</v>
      </c>
      <c r="X808" t="b">
        <v>1</v>
      </c>
      <c r="Y808" t="b">
        <v>0</v>
      </c>
      <c r="Z808" t="s">
        <v>82</v>
      </c>
      <c r="AA808" t="s">
        <v>71</v>
      </c>
      <c r="AB808">
        <v>6</v>
      </c>
      <c r="AO808" t="str">
        <f t="shared" si="42"/>
        <v>26-40</v>
      </c>
      <c r="BD808">
        <v>7</v>
      </c>
      <c r="BF808" cm="1">
        <f t="array" ref="BF808">CORREL(J808:J1808,S808:S1808)</f>
        <v>-0.0711216266454197</v>
      </c>
      <c r="BH808">
        <v>3</v>
      </c>
      <c r="BI808">
        <f t="shared" si="40"/>
        <v>2.33333333333333</v>
      </c>
      <c r="BJ808">
        <f t="shared" si="41"/>
        <v>1.28571428571429</v>
      </c>
    </row>
    <row r="809" spans="1:62">
      <c r="A809" s="1">
        <v>503951941</v>
      </c>
      <c r="B809">
        <v>30</v>
      </c>
      <c r="C809" t="s">
        <v>268</v>
      </c>
      <c r="D809" t="s">
        <v>74</v>
      </c>
      <c r="E809" t="s">
        <v>61</v>
      </c>
      <c r="F809" t="s">
        <v>75</v>
      </c>
      <c r="G809" t="s">
        <v>74</v>
      </c>
      <c r="H809" t="s">
        <v>997</v>
      </c>
      <c r="I809" t="s">
        <v>133</v>
      </c>
      <c r="J809" s="2">
        <v>104.74</v>
      </c>
      <c r="K809">
        <v>6</v>
      </c>
      <c r="L809" t="s">
        <v>85</v>
      </c>
      <c r="M809">
        <v>2</v>
      </c>
      <c r="N809">
        <v>4</v>
      </c>
      <c r="O809">
        <v>2</v>
      </c>
      <c r="P809" t="s">
        <v>66</v>
      </c>
      <c r="Q809" t="s">
        <v>109</v>
      </c>
      <c r="R809">
        <v>0</v>
      </c>
      <c r="S809">
        <v>4</v>
      </c>
      <c r="T809" t="s">
        <v>84</v>
      </c>
      <c r="U809" t="s">
        <v>90</v>
      </c>
      <c r="V809" t="s">
        <v>81</v>
      </c>
      <c r="W809" s="3">
        <v>45557</v>
      </c>
      <c r="X809" t="b">
        <v>0</v>
      </c>
      <c r="Y809" t="b">
        <v>0</v>
      </c>
      <c r="Z809" t="s">
        <v>92</v>
      </c>
      <c r="AA809" t="s">
        <v>71</v>
      </c>
      <c r="AB809">
        <v>1</v>
      </c>
      <c r="AO809" t="str">
        <f t="shared" si="42"/>
        <v>26-40</v>
      </c>
      <c r="BD809">
        <v>6</v>
      </c>
      <c r="BF809" cm="1">
        <f t="array" ref="BF809">CORREL(J809:J1809,S809:S1809)</f>
        <v>-0.075865779104231</v>
      </c>
      <c r="BH809">
        <v>4</v>
      </c>
      <c r="BI809">
        <f t="shared" si="40"/>
        <v>1.5</v>
      </c>
      <c r="BJ809">
        <f t="shared" si="41"/>
        <v>2.66666666666667</v>
      </c>
    </row>
    <row r="810" spans="1:62">
      <c r="A810" s="1">
        <v>997719310</v>
      </c>
      <c r="B810">
        <v>37</v>
      </c>
      <c r="C810" t="s">
        <v>59</v>
      </c>
      <c r="D810" t="s">
        <v>74</v>
      </c>
      <c r="E810" t="s">
        <v>98</v>
      </c>
      <c r="F810" t="s">
        <v>87</v>
      </c>
      <c r="G810" t="s">
        <v>60</v>
      </c>
      <c r="H810" t="s">
        <v>998</v>
      </c>
      <c r="I810" t="s">
        <v>77</v>
      </c>
      <c r="J810" s="2">
        <v>399.95</v>
      </c>
      <c r="K810">
        <v>10</v>
      </c>
      <c r="L810" t="s">
        <v>78</v>
      </c>
      <c r="M810">
        <v>2</v>
      </c>
      <c r="N810">
        <v>1</v>
      </c>
      <c r="O810">
        <v>0</v>
      </c>
      <c r="P810" t="s">
        <v>84</v>
      </c>
      <c r="Q810" t="s">
        <v>80</v>
      </c>
      <c r="R810">
        <v>1</v>
      </c>
      <c r="S810">
        <v>2</v>
      </c>
      <c r="T810" t="s">
        <v>74</v>
      </c>
      <c r="U810" t="s">
        <v>90</v>
      </c>
      <c r="V810" t="s">
        <v>110</v>
      </c>
      <c r="W810" s="3">
        <v>45358</v>
      </c>
      <c r="X810" t="b">
        <v>1</v>
      </c>
      <c r="Y810" t="b">
        <v>0</v>
      </c>
      <c r="Z810" t="s">
        <v>70</v>
      </c>
      <c r="AA810" t="s">
        <v>97</v>
      </c>
      <c r="AB810">
        <v>10</v>
      </c>
      <c r="AO810" t="str">
        <f t="shared" si="42"/>
        <v>26-40</v>
      </c>
      <c r="BD810">
        <v>10</v>
      </c>
      <c r="BF810" cm="1">
        <f t="array" ref="BF810">CORREL(J810:J1810,S810:S1810)</f>
        <v>-0.0802303167862346</v>
      </c>
      <c r="BH810">
        <v>2</v>
      </c>
      <c r="BI810">
        <f t="shared" si="40"/>
        <v>5</v>
      </c>
      <c r="BJ810">
        <f t="shared" si="41"/>
        <v>0.4</v>
      </c>
    </row>
    <row r="811" spans="1:62">
      <c r="A811" s="1">
        <v>185180140</v>
      </c>
      <c r="B811">
        <v>47</v>
      </c>
      <c r="C811" t="s">
        <v>59</v>
      </c>
      <c r="D811" t="s">
        <v>74</v>
      </c>
      <c r="E811" t="s">
        <v>103</v>
      </c>
      <c r="F811" t="s">
        <v>62</v>
      </c>
      <c r="G811" t="s">
        <v>60</v>
      </c>
      <c r="H811" t="s">
        <v>999</v>
      </c>
      <c r="I811" t="s">
        <v>135</v>
      </c>
      <c r="J811" s="2">
        <v>337.33</v>
      </c>
      <c r="K811">
        <v>8</v>
      </c>
      <c r="L811" t="s">
        <v>78</v>
      </c>
      <c r="M811">
        <v>1</v>
      </c>
      <c r="N811">
        <v>4</v>
      </c>
      <c r="O811">
        <v>1</v>
      </c>
      <c r="P811" t="s">
        <v>66</v>
      </c>
      <c r="Q811" t="s">
        <v>67</v>
      </c>
      <c r="R811">
        <v>0</v>
      </c>
      <c r="S811">
        <v>5</v>
      </c>
      <c r="T811" t="s">
        <v>79</v>
      </c>
      <c r="U811" t="s">
        <v>105</v>
      </c>
      <c r="V811" t="s">
        <v>91</v>
      </c>
      <c r="W811" s="3">
        <v>45621</v>
      </c>
      <c r="X811" t="b">
        <v>0</v>
      </c>
      <c r="Y811" t="b">
        <v>0</v>
      </c>
      <c r="Z811" t="s">
        <v>102</v>
      </c>
      <c r="AA811" t="s">
        <v>97</v>
      </c>
      <c r="AB811">
        <v>10</v>
      </c>
      <c r="AO811" t="str">
        <f t="shared" si="42"/>
        <v>41-60</v>
      </c>
      <c r="BD811">
        <v>8</v>
      </c>
      <c r="BF811" cm="1">
        <f t="array" ref="BF811">CORREL(J811:J1811,S811:S1811)</f>
        <v>-0.0747353549536511</v>
      </c>
      <c r="BH811">
        <v>5</v>
      </c>
      <c r="BI811">
        <f t="shared" si="40"/>
        <v>1.6</v>
      </c>
      <c r="BJ811">
        <f t="shared" si="41"/>
        <v>3.125</v>
      </c>
    </row>
    <row r="812" spans="1:62">
      <c r="A812" s="1">
        <v>570008646</v>
      </c>
      <c r="B812">
        <v>41</v>
      </c>
      <c r="C812" t="s">
        <v>59</v>
      </c>
      <c r="D812" t="s">
        <v>74</v>
      </c>
      <c r="E812" t="s">
        <v>98</v>
      </c>
      <c r="F812" t="s">
        <v>87</v>
      </c>
      <c r="G812" t="s">
        <v>60</v>
      </c>
      <c r="H812" t="s">
        <v>1000</v>
      </c>
      <c r="I812" t="s">
        <v>209</v>
      </c>
      <c r="J812" s="2">
        <v>204.83</v>
      </c>
      <c r="K812">
        <v>6</v>
      </c>
      <c r="L812" t="s">
        <v>78</v>
      </c>
      <c r="M812">
        <v>5</v>
      </c>
      <c r="N812">
        <v>1</v>
      </c>
      <c r="O812">
        <v>0</v>
      </c>
      <c r="P812" t="s">
        <v>74</v>
      </c>
      <c r="Q812" t="s">
        <v>109</v>
      </c>
      <c r="R812">
        <v>1</v>
      </c>
      <c r="S812">
        <v>5</v>
      </c>
      <c r="T812" t="s">
        <v>79</v>
      </c>
      <c r="U812" t="s">
        <v>90</v>
      </c>
      <c r="V812" t="s">
        <v>91</v>
      </c>
      <c r="W812" s="3">
        <v>45404</v>
      </c>
      <c r="X812" t="b">
        <v>1</v>
      </c>
      <c r="Y812" t="b">
        <v>0</v>
      </c>
      <c r="Z812" t="s">
        <v>82</v>
      </c>
      <c r="AA812" t="s">
        <v>83</v>
      </c>
      <c r="AB812">
        <v>5</v>
      </c>
      <c r="AO812" t="str">
        <f t="shared" si="42"/>
        <v>41-60</v>
      </c>
      <c r="BD812">
        <v>6</v>
      </c>
      <c r="BF812" cm="1">
        <f t="array" ref="BF812">CORREL(J812:J1812,S812:S1812)</f>
        <v>-0.0743554359202469</v>
      </c>
      <c r="BH812">
        <v>5</v>
      </c>
      <c r="BI812">
        <f t="shared" si="40"/>
        <v>1.2</v>
      </c>
      <c r="BJ812">
        <f t="shared" si="41"/>
        <v>4.16666666666667</v>
      </c>
    </row>
    <row r="813" spans="1:62">
      <c r="A813" s="1">
        <v>819269297</v>
      </c>
      <c r="B813">
        <v>22</v>
      </c>
      <c r="C813" t="s">
        <v>59</v>
      </c>
      <c r="D813" t="s">
        <v>60</v>
      </c>
      <c r="E813" t="s">
        <v>98</v>
      </c>
      <c r="F813" t="s">
        <v>87</v>
      </c>
      <c r="G813" t="s">
        <v>74</v>
      </c>
      <c r="H813" t="s">
        <v>1001</v>
      </c>
      <c r="I813" t="s">
        <v>129</v>
      </c>
      <c r="J813" s="2">
        <v>193.94</v>
      </c>
      <c r="K813">
        <v>11</v>
      </c>
      <c r="L813" t="s">
        <v>65</v>
      </c>
      <c r="M813">
        <v>4</v>
      </c>
      <c r="N813">
        <v>1</v>
      </c>
      <c r="O813">
        <v>0</v>
      </c>
      <c r="P813" t="s">
        <v>66</v>
      </c>
      <c r="Q813" t="s">
        <v>80</v>
      </c>
      <c r="R813">
        <v>0</v>
      </c>
      <c r="S813">
        <v>3</v>
      </c>
      <c r="T813" t="s">
        <v>74</v>
      </c>
      <c r="U813" t="s">
        <v>105</v>
      </c>
      <c r="V813" t="s">
        <v>96</v>
      </c>
      <c r="W813" s="3">
        <v>45513</v>
      </c>
      <c r="X813" t="b">
        <v>0</v>
      </c>
      <c r="Y813" t="b">
        <v>0</v>
      </c>
      <c r="Z813" t="s">
        <v>82</v>
      </c>
      <c r="AA813" t="s">
        <v>83</v>
      </c>
      <c r="AB813">
        <v>9</v>
      </c>
      <c r="AO813" t="str">
        <f t="shared" si="42"/>
        <v>18-25</v>
      </c>
      <c r="BD813">
        <v>11</v>
      </c>
      <c r="BF813" cm="1">
        <f t="array" ref="BF813">CORREL(J813:J1813,S813:S1813)</f>
        <v>-0.0750495208017222</v>
      </c>
      <c r="BH813">
        <v>3</v>
      </c>
      <c r="BI813">
        <f t="shared" si="40"/>
        <v>3.66666666666667</v>
      </c>
      <c r="BJ813">
        <f t="shared" si="41"/>
        <v>0.818181818181818</v>
      </c>
    </row>
    <row r="814" spans="1:62">
      <c r="A814" s="1">
        <v>530702625</v>
      </c>
      <c r="B814">
        <v>46</v>
      </c>
      <c r="C814" t="s">
        <v>73</v>
      </c>
      <c r="D814" t="s">
        <v>74</v>
      </c>
      <c r="E814" t="s">
        <v>61</v>
      </c>
      <c r="F814" t="s">
        <v>87</v>
      </c>
      <c r="G814" t="s">
        <v>60</v>
      </c>
      <c r="H814" t="s">
        <v>1002</v>
      </c>
      <c r="I814" t="s">
        <v>115</v>
      </c>
      <c r="J814" s="2">
        <v>460.37</v>
      </c>
      <c r="K814">
        <v>10</v>
      </c>
      <c r="L814" t="s">
        <v>85</v>
      </c>
      <c r="M814">
        <v>5</v>
      </c>
      <c r="N814">
        <v>4</v>
      </c>
      <c r="O814">
        <v>2</v>
      </c>
      <c r="P814" t="s">
        <v>84</v>
      </c>
      <c r="Q814" t="s">
        <v>109</v>
      </c>
      <c r="R814">
        <v>2</v>
      </c>
      <c r="S814">
        <v>7</v>
      </c>
      <c r="T814" t="s">
        <v>74</v>
      </c>
      <c r="U814" t="s">
        <v>105</v>
      </c>
      <c r="V814" t="s">
        <v>69</v>
      </c>
      <c r="W814" s="3">
        <v>45486</v>
      </c>
      <c r="X814" t="b">
        <v>1</v>
      </c>
      <c r="Y814" t="b">
        <v>1</v>
      </c>
      <c r="Z814" t="s">
        <v>82</v>
      </c>
      <c r="AA814" t="s">
        <v>97</v>
      </c>
      <c r="AB814">
        <v>12</v>
      </c>
      <c r="AO814" t="str">
        <f t="shared" si="42"/>
        <v>41-60</v>
      </c>
      <c r="BD814">
        <v>10</v>
      </c>
      <c r="BF814" cm="1">
        <f t="array" ref="BF814">CORREL(J814:J1814,S814:S1814)</f>
        <v>-0.078682404388112</v>
      </c>
      <c r="BH814">
        <v>7</v>
      </c>
      <c r="BI814">
        <f t="shared" si="40"/>
        <v>1.42857142857143</v>
      </c>
      <c r="BJ814">
        <f t="shared" si="41"/>
        <v>4.9</v>
      </c>
    </row>
    <row r="815" spans="1:62">
      <c r="A815" s="1">
        <v>632177638</v>
      </c>
      <c r="B815">
        <v>34</v>
      </c>
      <c r="C815" t="s">
        <v>175</v>
      </c>
      <c r="D815" t="s">
        <v>60</v>
      </c>
      <c r="E815" t="s">
        <v>86</v>
      </c>
      <c r="F815" t="s">
        <v>62</v>
      </c>
      <c r="G815" t="s">
        <v>60</v>
      </c>
      <c r="H815" t="s">
        <v>420</v>
      </c>
      <c r="I815" t="s">
        <v>143</v>
      </c>
      <c r="J815" s="2">
        <v>297.29</v>
      </c>
      <c r="K815">
        <v>9</v>
      </c>
      <c r="L815" t="s">
        <v>85</v>
      </c>
      <c r="M815">
        <v>5</v>
      </c>
      <c r="N815">
        <v>4</v>
      </c>
      <c r="O815">
        <v>2</v>
      </c>
      <c r="P815" t="s">
        <v>66</v>
      </c>
      <c r="Q815" t="s">
        <v>80</v>
      </c>
      <c r="R815">
        <v>0</v>
      </c>
      <c r="S815">
        <v>9</v>
      </c>
      <c r="T815" t="s">
        <v>84</v>
      </c>
      <c r="U815" t="s">
        <v>90</v>
      </c>
      <c r="V815" t="s">
        <v>110</v>
      </c>
      <c r="W815" s="3">
        <v>45292</v>
      </c>
      <c r="X815" t="b">
        <v>1</v>
      </c>
      <c r="Y815" t="b">
        <v>1</v>
      </c>
      <c r="Z815" t="s">
        <v>70</v>
      </c>
      <c r="AA815" t="s">
        <v>83</v>
      </c>
      <c r="AB815">
        <v>3</v>
      </c>
      <c r="AO815" t="str">
        <f t="shared" si="42"/>
        <v>26-40</v>
      </c>
      <c r="BD815">
        <v>9</v>
      </c>
      <c r="BF815" cm="1">
        <f t="array" ref="BF815">CORREL(J815:J1815,S815:S1815)</f>
        <v>-0.0829499941113362</v>
      </c>
      <c r="BH815">
        <v>9</v>
      </c>
      <c r="BI815">
        <f t="shared" si="40"/>
        <v>1</v>
      </c>
      <c r="BJ815">
        <f t="shared" si="41"/>
        <v>9</v>
      </c>
    </row>
    <row r="816" spans="1:62">
      <c r="A816" s="1">
        <v>641206212</v>
      </c>
      <c r="B816">
        <v>31</v>
      </c>
      <c r="C816" t="s">
        <v>73</v>
      </c>
      <c r="D816" t="s">
        <v>60</v>
      </c>
      <c r="E816" t="s">
        <v>86</v>
      </c>
      <c r="F816" t="s">
        <v>62</v>
      </c>
      <c r="G816" t="s">
        <v>60</v>
      </c>
      <c r="H816" t="s">
        <v>1003</v>
      </c>
      <c r="I816" t="s">
        <v>107</v>
      </c>
      <c r="J816" s="2">
        <v>389.47</v>
      </c>
      <c r="K816">
        <v>4</v>
      </c>
      <c r="L816" t="s">
        <v>78</v>
      </c>
      <c r="M816">
        <v>5</v>
      </c>
      <c r="N816">
        <v>3</v>
      </c>
      <c r="O816">
        <v>2</v>
      </c>
      <c r="P816" t="s">
        <v>84</v>
      </c>
      <c r="Q816" t="s">
        <v>80</v>
      </c>
      <c r="R816">
        <v>1</v>
      </c>
      <c r="S816">
        <v>9</v>
      </c>
      <c r="T816" t="s">
        <v>74</v>
      </c>
      <c r="U816" t="s">
        <v>105</v>
      </c>
      <c r="V816" t="s">
        <v>69</v>
      </c>
      <c r="W816" s="3">
        <v>45333</v>
      </c>
      <c r="X816" t="b">
        <v>1</v>
      </c>
      <c r="Y816" t="b">
        <v>1</v>
      </c>
      <c r="Z816" t="s">
        <v>82</v>
      </c>
      <c r="AA816" t="s">
        <v>83</v>
      </c>
      <c r="AB816">
        <v>6</v>
      </c>
      <c r="AO816" t="str">
        <f t="shared" si="42"/>
        <v>26-40</v>
      </c>
      <c r="BD816">
        <v>4</v>
      </c>
      <c r="BF816" cm="1">
        <f t="array" ref="BF816">CORREL(J816:J1816,S816:S1816)</f>
        <v>-0.0840408479166902</v>
      </c>
      <c r="BH816">
        <v>9</v>
      </c>
      <c r="BI816">
        <f t="shared" si="40"/>
        <v>0.444444444444444</v>
      </c>
      <c r="BJ816">
        <f t="shared" si="41"/>
        <v>20.25</v>
      </c>
    </row>
    <row r="817" spans="1:62">
      <c r="A817" s="4" t="s">
        <v>1004</v>
      </c>
      <c r="B817">
        <v>38</v>
      </c>
      <c r="C817" t="s">
        <v>73</v>
      </c>
      <c r="D817" t="s">
        <v>74</v>
      </c>
      <c r="E817" t="s">
        <v>86</v>
      </c>
      <c r="F817" t="s">
        <v>87</v>
      </c>
      <c r="G817" t="s">
        <v>74</v>
      </c>
      <c r="H817" t="s">
        <v>1005</v>
      </c>
      <c r="I817" t="s">
        <v>95</v>
      </c>
      <c r="J817" s="2">
        <v>370.05</v>
      </c>
      <c r="K817">
        <v>11</v>
      </c>
      <c r="L817" t="s">
        <v>65</v>
      </c>
      <c r="M817">
        <v>5</v>
      </c>
      <c r="N817">
        <v>3</v>
      </c>
      <c r="O817">
        <v>0</v>
      </c>
      <c r="P817" t="s">
        <v>79</v>
      </c>
      <c r="Q817" t="s">
        <v>109</v>
      </c>
      <c r="R817">
        <v>1</v>
      </c>
      <c r="S817">
        <v>10</v>
      </c>
      <c r="T817" t="s">
        <v>74</v>
      </c>
      <c r="U817" t="s">
        <v>90</v>
      </c>
      <c r="V817" t="s">
        <v>110</v>
      </c>
      <c r="W817" s="3">
        <v>45595</v>
      </c>
      <c r="X817" t="b">
        <v>1</v>
      </c>
      <c r="Y817" t="b">
        <v>1</v>
      </c>
      <c r="Z817" t="s">
        <v>92</v>
      </c>
      <c r="AA817" t="s">
        <v>71</v>
      </c>
      <c r="AB817">
        <v>10</v>
      </c>
      <c r="AO817" t="str">
        <f t="shared" si="42"/>
        <v>26-40</v>
      </c>
      <c r="BD817">
        <v>11</v>
      </c>
      <c r="BF817" cm="1">
        <f t="array" ref="BF817">CORREL(J817:J1817,S817:S1817)</f>
        <v>-0.0901405348260697</v>
      </c>
      <c r="BH817">
        <v>10</v>
      </c>
      <c r="BI817">
        <f t="shared" si="40"/>
        <v>1.1</v>
      </c>
      <c r="BJ817">
        <f t="shared" si="41"/>
        <v>9.09090909090909</v>
      </c>
    </row>
    <row r="818" spans="1:62">
      <c r="A818" s="1">
        <v>689716148</v>
      </c>
      <c r="B818">
        <v>45</v>
      </c>
      <c r="C818" t="s">
        <v>73</v>
      </c>
      <c r="D818" t="s">
        <v>74</v>
      </c>
      <c r="E818" t="s">
        <v>86</v>
      </c>
      <c r="F818" t="s">
        <v>87</v>
      </c>
      <c r="G818" t="s">
        <v>60</v>
      </c>
      <c r="H818" t="s">
        <v>1006</v>
      </c>
      <c r="I818" t="s">
        <v>209</v>
      </c>
      <c r="J818" s="2">
        <v>462.24</v>
      </c>
      <c r="K818">
        <v>2</v>
      </c>
      <c r="L818" t="s">
        <v>65</v>
      </c>
      <c r="M818">
        <v>4</v>
      </c>
      <c r="N818">
        <v>5</v>
      </c>
      <c r="O818">
        <v>0</v>
      </c>
      <c r="P818" t="s">
        <v>84</v>
      </c>
      <c r="Q818" t="s">
        <v>80</v>
      </c>
      <c r="R818">
        <v>2</v>
      </c>
      <c r="S818">
        <v>1</v>
      </c>
      <c r="T818" t="s">
        <v>66</v>
      </c>
      <c r="U818" t="s">
        <v>90</v>
      </c>
      <c r="V818" t="s">
        <v>96</v>
      </c>
      <c r="W818" s="3">
        <v>45370</v>
      </c>
      <c r="X818" t="b">
        <v>1</v>
      </c>
      <c r="Y818" t="b">
        <v>1</v>
      </c>
      <c r="Z818" t="s">
        <v>82</v>
      </c>
      <c r="AA818" t="s">
        <v>97</v>
      </c>
      <c r="AB818">
        <v>13</v>
      </c>
      <c r="AO818" t="str">
        <f t="shared" si="42"/>
        <v>41-60</v>
      </c>
      <c r="BD818">
        <v>2</v>
      </c>
      <c r="BF818" cm="1">
        <f t="array" ref="BF818">CORREL(J818:J1818,S818:S1818)</f>
        <v>-0.0969037253454604</v>
      </c>
      <c r="BH818">
        <v>1</v>
      </c>
      <c r="BI818">
        <f t="shared" si="40"/>
        <v>2</v>
      </c>
      <c r="BJ818">
        <f t="shared" si="41"/>
        <v>0.5</v>
      </c>
    </row>
    <row r="819" spans="1:62">
      <c r="A819" s="1">
        <v>220534627</v>
      </c>
      <c r="B819">
        <v>30</v>
      </c>
      <c r="C819" t="s">
        <v>59</v>
      </c>
      <c r="D819" t="s">
        <v>74</v>
      </c>
      <c r="E819" t="s">
        <v>61</v>
      </c>
      <c r="F819" t="s">
        <v>75</v>
      </c>
      <c r="G819" t="s">
        <v>74</v>
      </c>
      <c r="H819" t="s">
        <v>1007</v>
      </c>
      <c r="I819" t="s">
        <v>77</v>
      </c>
      <c r="J819" s="2">
        <v>472.53</v>
      </c>
      <c r="K819">
        <v>11</v>
      </c>
      <c r="L819" t="s">
        <v>85</v>
      </c>
      <c r="M819">
        <v>4</v>
      </c>
      <c r="N819">
        <v>1</v>
      </c>
      <c r="O819">
        <v>1</v>
      </c>
      <c r="P819" t="s">
        <v>79</v>
      </c>
      <c r="Q819" t="s">
        <v>67</v>
      </c>
      <c r="R819">
        <v>2</v>
      </c>
      <c r="S819">
        <v>7</v>
      </c>
      <c r="T819" t="s">
        <v>79</v>
      </c>
      <c r="U819" t="s">
        <v>90</v>
      </c>
      <c r="V819" t="s">
        <v>91</v>
      </c>
      <c r="W819" s="3">
        <v>45412</v>
      </c>
      <c r="X819" t="b">
        <v>0</v>
      </c>
      <c r="Y819" t="b">
        <v>0</v>
      </c>
      <c r="Z819" t="s">
        <v>82</v>
      </c>
      <c r="AA819" t="s">
        <v>97</v>
      </c>
      <c r="AB819">
        <v>4</v>
      </c>
      <c r="AO819" t="str">
        <f t="shared" si="42"/>
        <v>26-40</v>
      </c>
      <c r="BD819">
        <v>11</v>
      </c>
      <c r="BF819" cm="1">
        <f t="array" ref="BF819">CORREL(J819:J1819,S819:S1819)</f>
        <v>-0.0856908706957125</v>
      </c>
      <c r="BH819">
        <v>7</v>
      </c>
      <c r="BI819">
        <f t="shared" si="40"/>
        <v>1.57142857142857</v>
      </c>
      <c r="BJ819">
        <f t="shared" si="41"/>
        <v>4.45454545454546</v>
      </c>
    </row>
    <row r="820" spans="1:62">
      <c r="A820" s="4" t="s">
        <v>1008</v>
      </c>
      <c r="B820">
        <v>45</v>
      </c>
      <c r="C820" t="s">
        <v>59</v>
      </c>
      <c r="D820" t="s">
        <v>60</v>
      </c>
      <c r="E820" t="s">
        <v>61</v>
      </c>
      <c r="F820" t="s">
        <v>75</v>
      </c>
      <c r="G820" t="s">
        <v>60</v>
      </c>
      <c r="H820" t="s">
        <v>1009</v>
      </c>
      <c r="I820" t="s">
        <v>95</v>
      </c>
      <c r="J820" s="2">
        <v>407.29</v>
      </c>
      <c r="K820">
        <v>3</v>
      </c>
      <c r="L820" t="s">
        <v>78</v>
      </c>
      <c r="M820">
        <v>5</v>
      </c>
      <c r="N820">
        <v>5</v>
      </c>
      <c r="O820">
        <v>0</v>
      </c>
      <c r="P820" t="s">
        <v>84</v>
      </c>
      <c r="Q820" t="s">
        <v>80</v>
      </c>
      <c r="R820">
        <v>0</v>
      </c>
      <c r="S820">
        <v>5</v>
      </c>
      <c r="T820" t="s">
        <v>84</v>
      </c>
      <c r="U820" t="s">
        <v>68</v>
      </c>
      <c r="V820" t="s">
        <v>96</v>
      </c>
      <c r="W820" s="3">
        <v>45621</v>
      </c>
      <c r="X820" t="b">
        <v>0</v>
      </c>
      <c r="Y820" t="b">
        <v>0</v>
      </c>
      <c r="Z820" t="s">
        <v>102</v>
      </c>
      <c r="AA820" t="s">
        <v>97</v>
      </c>
      <c r="AB820">
        <v>3</v>
      </c>
      <c r="AO820" t="str">
        <f t="shared" si="42"/>
        <v>41-60</v>
      </c>
      <c r="BD820">
        <v>3</v>
      </c>
      <c r="BF820" cm="1">
        <f t="array" ref="BF820">CORREL(J820:J1820,S820:S1820)</f>
        <v>-0.0907216898783259</v>
      </c>
      <c r="BH820">
        <v>5</v>
      </c>
      <c r="BI820">
        <f t="shared" si="40"/>
        <v>0.6</v>
      </c>
      <c r="BJ820">
        <f t="shared" si="41"/>
        <v>8.33333333333333</v>
      </c>
    </row>
    <row r="821" spans="1:62">
      <c r="A821" s="1">
        <v>567829001</v>
      </c>
      <c r="B821">
        <v>18</v>
      </c>
      <c r="C821" t="s">
        <v>73</v>
      </c>
      <c r="D821" t="s">
        <v>74</v>
      </c>
      <c r="E821" t="s">
        <v>61</v>
      </c>
      <c r="F821" t="s">
        <v>62</v>
      </c>
      <c r="G821" t="s">
        <v>74</v>
      </c>
      <c r="H821" t="s">
        <v>1010</v>
      </c>
      <c r="I821" t="s">
        <v>115</v>
      </c>
      <c r="J821" s="2">
        <v>135.65</v>
      </c>
      <c r="K821">
        <v>8</v>
      </c>
      <c r="L821" t="s">
        <v>85</v>
      </c>
      <c r="M821">
        <v>4</v>
      </c>
      <c r="N821">
        <v>1</v>
      </c>
      <c r="O821">
        <v>1</v>
      </c>
      <c r="P821" t="s">
        <v>84</v>
      </c>
      <c r="Q821" t="s">
        <v>109</v>
      </c>
      <c r="R821">
        <v>0</v>
      </c>
      <c r="S821">
        <v>9</v>
      </c>
      <c r="T821" t="s">
        <v>66</v>
      </c>
      <c r="U821" t="s">
        <v>105</v>
      </c>
      <c r="V821" t="s">
        <v>96</v>
      </c>
      <c r="W821" s="3">
        <v>45338</v>
      </c>
      <c r="X821" t="b">
        <v>0</v>
      </c>
      <c r="Y821" t="b">
        <v>0</v>
      </c>
      <c r="Z821" t="s">
        <v>92</v>
      </c>
      <c r="AA821" t="s">
        <v>83</v>
      </c>
      <c r="AB821">
        <v>14</v>
      </c>
      <c r="AO821" t="str">
        <f t="shared" si="42"/>
        <v>18-25</v>
      </c>
      <c r="BD821">
        <v>8</v>
      </c>
      <c r="BF821" cm="1">
        <f t="array" ref="BF821">CORREL(J821:J1821,S821:S1821)</f>
        <v>-0.0899916924841736</v>
      </c>
      <c r="BH821">
        <v>9</v>
      </c>
      <c r="BI821">
        <f t="shared" si="40"/>
        <v>0.888888888888889</v>
      </c>
      <c r="BJ821">
        <f t="shared" si="41"/>
        <v>10.125</v>
      </c>
    </row>
    <row r="822" spans="1:62">
      <c r="A822" s="4" t="s">
        <v>1011</v>
      </c>
      <c r="B822">
        <v>36</v>
      </c>
      <c r="C822" t="s">
        <v>73</v>
      </c>
      <c r="D822" t="s">
        <v>74</v>
      </c>
      <c r="E822" t="s">
        <v>86</v>
      </c>
      <c r="F822" t="s">
        <v>62</v>
      </c>
      <c r="G822" t="s">
        <v>60</v>
      </c>
      <c r="H822" t="s">
        <v>1012</v>
      </c>
      <c r="I822" t="s">
        <v>120</v>
      </c>
      <c r="J822" s="2">
        <v>352.35</v>
      </c>
      <c r="K822">
        <v>4</v>
      </c>
      <c r="L822" t="s">
        <v>85</v>
      </c>
      <c r="M822">
        <v>2</v>
      </c>
      <c r="N822">
        <v>2</v>
      </c>
      <c r="O822">
        <v>0</v>
      </c>
      <c r="P822" t="s">
        <v>84</v>
      </c>
      <c r="Q822" t="s">
        <v>109</v>
      </c>
      <c r="R822">
        <v>1</v>
      </c>
      <c r="S822">
        <v>1</v>
      </c>
      <c r="T822" t="s">
        <v>84</v>
      </c>
      <c r="U822" t="s">
        <v>90</v>
      </c>
      <c r="V822" t="s">
        <v>69</v>
      </c>
      <c r="W822" s="3">
        <v>45463</v>
      </c>
      <c r="X822" t="b">
        <v>0</v>
      </c>
      <c r="Y822" t="b">
        <v>0</v>
      </c>
      <c r="Z822" t="s">
        <v>102</v>
      </c>
      <c r="AA822" t="s">
        <v>97</v>
      </c>
      <c r="AB822">
        <v>14</v>
      </c>
      <c r="AO822" t="str">
        <f t="shared" si="42"/>
        <v>26-40</v>
      </c>
      <c r="BD822">
        <v>4</v>
      </c>
      <c r="BF822" cm="1">
        <f t="array" ref="BF822">CORREL(J822:J1822,S822:S1822)</f>
        <v>-0.0828275785925407</v>
      </c>
      <c r="BH822">
        <v>1</v>
      </c>
      <c r="BI822">
        <f t="shared" si="40"/>
        <v>4</v>
      </c>
      <c r="BJ822">
        <f t="shared" si="41"/>
        <v>0.25</v>
      </c>
    </row>
    <row r="823" spans="1:62">
      <c r="A823" s="1">
        <v>473569730</v>
      </c>
      <c r="B823">
        <v>25</v>
      </c>
      <c r="C823" t="s">
        <v>59</v>
      </c>
      <c r="D823" t="s">
        <v>74</v>
      </c>
      <c r="E823" t="s">
        <v>86</v>
      </c>
      <c r="F823" t="s">
        <v>75</v>
      </c>
      <c r="G823" t="s">
        <v>74</v>
      </c>
      <c r="H823" t="s">
        <v>354</v>
      </c>
      <c r="I823" t="s">
        <v>107</v>
      </c>
      <c r="J823" s="2">
        <v>441.73</v>
      </c>
      <c r="K823">
        <v>12</v>
      </c>
      <c r="L823" t="s">
        <v>85</v>
      </c>
      <c r="M823">
        <v>1</v>
      </c>
      <c r="N823">
        <v>4</v>
      </c>
      <c r="O823">
        <v>2</v>
      </c>
      <c r="P823" t="s">
        <v>84</v>
      </c>
      <c r="Q823" t="s">
        <v>67</v>
      </c>
      <c r="R823">
        <v>0</v>
      </c>
      <c r="S823">
        <v>8</v>
      </c>
      <c r="T823" t="s">
        <v>79</v>
      </c>
      <c r="U823" t="s">
        <v>90</v>
      </c>
      <c r="V823" t="s">
        <v>69</v>
      </c>
      <c r="W823" s="3">
        <v>45326</v>
      </c>
      <c r="X823" t="b">
        <v>1</v>
      </c>
      <c r="Y823" t="b">
        <v>0</v>
      </c>
      <c r="Z823" t="s">
        <v>102</v>
      </c>
      <c r="AA823" t="s">
        <v>83</v>
      </c>
      <c r="AB823">
        <v>8</v>
      </c>
      <c r="AO823" t="str">
        <f t="shared" si="42"/>
        <v>18-25</v>
      </c>
      <c r="BD823">
        <v>12</v>
      </c>
      <c r="BF823" cm="1">
        <f t="array" ref="BF823">CORREL(J823:J1823,S823:S1823)</f>
        <v>-0.0784031353006935</v>
      </c>
      <c r="BH823">
        <v>8</v>
      </c>
      <c r="BI823">
        <f t="shared" si="40"/>
        <v>1.5</v>
      </c>
      <c r="BJ823">
        <f t="shared" si="41"/>
        <v>5.33333333333333</v>
      </c>
    </row>
    <row r="824" spans="1:62">
      <c r="A824" s="1">
        <v>428986421</v>
      </c>
      <c r="B824">
        <v>21</v>
      </c>
      <c r="C824" t="s">
        <v>59</v>
      </c>
      <c r="D824" t="s">
        <v>74</v>
      </c>
      <c r="E824" t="s">
        <v>103</v>
      </c>
      <c r="F824" t="s">
        <v>75</v>
      </c>
      <c r="G824" t="s">
        <v>60</v>
      </c>
      <c r="H824" t="s">
        <v>1013</v>
      </c>
      <c r="I824" t="s">
        <v>118</v>
      </c>
      <c r="J824" s="2">
        <v>105.95</v>
      </c>
      <c r="K824">
        <v>12</v>
      </c>
      <c r="L824" t="s">
        <v>65</v>
      </c>
      <c r="M824">
        <v>1</v>
      </c>
      <c r="N824">
        <v>4</v>
      </c>
      <c r="O824">
        <v>2</v>
      </c>
      <c r="P824" t="s">
        <v>84</v>
      </c>
      <c r="Q824" t="s">
        <v>109</v>
      </c>
      <c r="R824">
        <v>1</v>
      </c>
      <c r="S824">
        <v>7</v>
      </c>
      <c r="T824" t="s">
        <v>79</v>
      </c>
      <c r="U824" t="s">
        <v>105</v>
      </c>
      <c r="V824" t="s">
        <v>110</v>
      </c>
      <c r="W824" s="3">
        <v>45508</v>
      </c>
      <c r="X824" t="b">
        <v>0</v>
      </c>
      <c r="Y824" t="b">
        <v>0</v>
      </c>
      <c r="Z824" t="s">
        <v>92</v>
      </c>
      <c r="AA824" t="s">
        <v>83</v>
      </c>
      <c r="AB824">
        <v>11</v>
      </c>
      <c r="AO824" t="str">
        <f t="shared" si="42"/>
        <v>18-25</v>
      </c>
      <c r="BD824">
        <v>12</v>
      </c>
      <c r="BF824" cm="1">
        <f t="array" ref="BF824">CORREL(J824:J1824,S824:S1824)</f>
        <v>-0.0853756398325422</v>
      </c>
      <c r="BH824">
        <v>7</v>
      </c>
      <c r="BI824">
        <f t="shared" si="40"/>
        <v>1.71428571428571</v>
      </c>
      <c r="BJ824">
        <f t="shared" si="41"/>
        <v>4.08333333333333</v>
      </c>
    </row>
    <row r="825" spans="1:62">
      <c r="A825" s="1">
        <v>173648685</v>
      </c>
      <c r="B825">
        <v>26</v>
      </c>
      <c r="C825" t="s">
        <v>73</v>
      </c>
      <c r="D825" t="s">
        <v>74</v>
      </c>
      <c r="E825" t="s">
        <v>86</v>
      </c>
      <c r="F825" t="s">
        <v>87</v>
      </c>
      <c r="G825" t="s">
        <v>74</v>
      </c>
      <c r="H825" t="s">
        <v>1014</v>
      </c>
      <c r="I825" t="s">
        <v>156</v>
      </c>
      <c r="J825" s="2">
        <v>351.54</v>
      </c>
      <c r="K825">
        <v>11</v>
      </c>
      <c r="L825" t="s">
        <v>65</v>
      </c>
      <c r="M825">
        <v>1</v>
      </c>
      <c r="N825">
        <v>3</v>
      </c>
      <c r="O825">
        <v>2</v>
      </c>
      <c r="P825" t="s">
        <v>66</v>
      </c>
      <c r="Q825" t="s">
        <v>67</v>
      </c>
      <c r="R825">
        <v>0</v>
      </c>
      <c r="S825">
        <v>8</v>
      </c>
      <c r="T825" t="s">
        <v>66</v>
      </c>
      <c r="U825" t="s">
        <v>68</v>
      </c>
      <c r="V825" t="s">
        <v>81</v>
      </c>
      <c r="W825" s="3">
        <v>45372</v>
      </c>
      <c r="X825" t="b">
        <v>1</v>
      </c>
      <c r="Y825" t="b">
        <v>0</v>
      </c>
      <c r="Z825" t="s">
        <v>102</v>
      </c>
      <c r="AA825" t="s">
        <v>97</v>
      </c>
      <c r="AB825">
        <v>12</v>
      </c>
      <c r="AO825" t="str">
        <f t="shared" si="42"/>
        <v>26-40</v>
      </c>
      <c r="BD825">
        <v>11</v>
      </c>
      <c r="BF825" cm="1">
        <f t="array" ref="BF825">CORREL(J825:J1825,S825:S1825)</f>
        <v>-0.0817001878986642</v>
      </c>
      <c r="BH825">
        <v>8</v>
      </c>
      <c r="BI825">
        <f t="shared" si="40"/>
        <v>1.375</v>
      </c>
      <c r="BJ825">
        <f t="shared" si="41"/>
        <v>5.81818181818182</v>
      </c>
    </row>
    <row r="826" spans="1:62">
      <c r="A826" s="1">
        <v>136189438</v>
      </c>
      <c r="B826">
        <v>40</v>
      </c>
      <c r="C826" t="s">
        <v>73</v>
      </c>
      <c r="D826" t="s">
        <v>74</v>
      </c>
      <c r="E826" t="s">
        <v>103</v>
      </c>
      <c r="F826" t="s">
        <v>62</v>
      </c>
      <c r="G826" t="s">
        <v>74</v>
      </c>
      <c r="H826" t="s">
        <v>1015</v>
      </c>
      <c r="I826" t="s">
        <v>95</v>
      </c>
      <c r="J826" s="2">
        <v>321.26</v>
      </c>
      <c r="K826">
        <v>12</v>
      </c>
      <c r="L826" t="s">
        <v>85</v>
      </c>
      <c r="M826">
        <v>4</v>
      </c>
      <c r="N826">
        <v>1</v>
      </c>
      <c r="O826">
        <v>0</v>
      </c>
      <c r="P826" t="s">
        <v>66</v>
      </c>
      <c r="Q826" t="s">
        <v>109</v>
      </c>
      <c r="R826">
        <v>0</v>
      </c>
      <c r="S826">
        <v>6</v>
      </c>
      <c r="T826" t="s">
        <v>66</v>
      </c>
      <c r="U826" t="s">
        <v>105</v>
      </c>
      <c r="V826" t="s">
        <v>91</v>
      </c>
      <c r="W826" s="3">
        <v>45456</v>
      </c>
      <c r="X826" t="b">
        <v>0</v>
      </c>
      <c r="Y826" t="b">
        <v>0</v>
      </c>
      <c r="Z826" t="s">
        <v>70</v>
      </c>
      <c r="AA826" t="s">
        <v>83</v>
      </c>
      <c r="AB826">
        <v>14</v>
      </c>
      <c r="AO826" t="str">
        <f t="shared" si="42"/>
        <v>26-40</v>
      </c>
      <c r="BD826">
        <v>12</v>
      </c>
      <c r="BF826" cm="1">
        <f t="array" ref="BF826">CORREL(J826:J1826,S826:S1826)</f>
        <v>-0.0848784526012456</v>
      </c>
      <c r="BH826">
        <v>6</v>
      </c>
      <c r="BI826">
        <f t="shared" si="40"/>
        <v>2</v>
      </c>
      <c r="BJ826">
        <f t="shared" si="41"/>
        <v>3</v>
      </c>
    </row>
    <row r="827" spans="1:62">
      <c r="A827" s="1">
        <v>324572982</v>
      </c>
      <c r="B827">
        <v>47</v>
      </c>
      <c r="C827" t="s">
        <v>59</v>
      </c>
      <c r="D827" t="s">
        <v>74</v>
      </c>
      <c r="E827" t="s">
        <v>103</v>
      </c>
      <c r="F827" t="s">
        <v>75</v>
      </c>
      <c r="G827" t="s">
        <v>60</v>
      </c>
      <c r="H827" t="s">
        <v>1016</v>
      </c>
      <c r="I827" t="s">
        <v>120</v>
      </c>
      <c r="J827" s="2">
        <v>421.5</v>
      </c>
      <c r="K827">
        <v>11</v>
      </c>
      <c r="L827" t="s">
        <v>85</v>
      </c>
      <c r="M827">
        <v>5</v>
      </c>
      <c r="N827">
        <v>1</v>
      </c>
      <c r="O827">
        <v>2</v>
      </c>
      <c r="P827" t="s">
        <v>84</v>
      </c>
      <c r="Q827" t="s">
        <v>67</v>
      </c>
      <c r="R827">
        <v>0</v>
      </c>
      <c r="S827">
        <v>8</v>
      </c>
      <c r="T827" t="s">
        <v>66</v>
      </c>
      <c r="U827" t="s">
        <v>105</v>
      </c>
      <c r="V827" t="s">
        <v>81</v>
      </c>
      <c r="W827" s="3">
        <v>45386</v>
      </c>
      <c r="X827" t="b">
        <v>1</v>
      </c>
      <c r="Y827" t="b">
        <v>1</v>
      </c>
      <c r="Z827" t="s">
        <v>70</v>
      </c>
      <c r="AA827" t="s">
        <v>97</v>
      </c>
      <c r="AB827">
        <v>3</v>
      </c>
      <c r="AO827" t="str">
        <f t="shared" si="42"/>
        <v>41-60</v>
      </c>
      <c r="BD827">
        <v>11</v>
      </c>
      <c r="BF827" cm="1">
        <f t="array" ref="BF827">CORREL(J827:J1827,S827:S1827)</f>
        <v>-0.0852735611547851</v>
      </c>
      <c r="BH827">
        <v>8</v>
      </c>
      <c r="BI827">
        <f t="shared" si="40"/>
        <v>1.375</v>
      </c>
      <c r="BJ827">
        <f t="shared" si="41"/>
        <v>5.81818181818182</v>
      </c>
    </row>
    <row r="828" spans="1:62">
      <c r="A828" s="1">
        <v>433862489</v>
      </c>
      <c r="B828">
        <v>27</v>
      </c>
      <c r="C828" t="s">
        <v>111</v>
      </c>
      <c r="D828" t="s">
        <v>74</v>
      </c>
      <c r="E828" t="s">
        <v>98</v>
      </c>
      <c r="F828" t="s">
        <v>75</v>
      </c>
      <c r="G828" t="s">
        <v>60</v>
      </c>
      <c r="H828" t="s">
        <v>1017</v>
      </c>
      <c r="I828" t="s">
        <v>77</v>
      </c>
      <c r="J828" s="2">
        <v>253.29</v>
      </c>
      <c r="K828">
        <v>6</v>
      </c>
      <c r="L828" t="s">
        <v>65</v>
      </c>
      <c r="M828">
        <v>3</v>
      </c>
      <c r="N828">
        <v>2</v>
      </c>
      <c r="O828">
        <v>2</v>
      </c>
      <c r="P828" t="s">
        <v>66</v>
      </c>
      <c r="Q828" t="s">
        <v>67</v>
      </c>
      <c r="R828">
        <v>1</v>
      </c>
      <c r="S828">
        <v>4</v>
      </c>
      <c r="T828" t="s">
        <v>66</v>
      </c>
      <c r="U828" t="s">
        <v>105</v>
      </c>
      <c r="V828" t="s">
        <v>81</v>
      </c>
      <c r="W828" s="3">
        <v>45414</v>
      </c>
      <c r="X828" t="b">
        <v>1</v>
      </c>
      <c r="Y828" t="b">
        <v>0</v>
      </c>
      <c r="Z828" t="s">
        <v>102</v>
      </c>
      <c r="AA828" t="s">
        <v>83</v>
      </c>
      <c r="AB828">
        <v>8</v>
      </c>
      <c r="AO828" t="str">
        <f t="shared" si="42"/>
        <v>26-40</v>
      </c>
      <c r="BD828">
        <v>6</v>
      </c>
      <c r="BF828" cm="1">
        <f t="array" ref="BF828">CORREL(J828:J1828,S828:S1828)</f>
        <v>-0.0916223274843611</v>
      </c>
      <c r="BH828">
        <v>4</v>
      </c>
      <c r="BI828">
        <f t="shared" si="40"/>
        <v>1.5</v>
      </c>
      <c r="BJ828">
        <f t="shared" si="41"/>
        <v>2.66666666666667</v>
      </c>
    </row>
    <row r="829" spans="1:62">
      <c r="A829" s="1">
        <v>674382378</v>
      </c>
      <c r="B829">
        <v>29</v>
      </c>
      <c r="C829" t="s">
        <v>59</v>
      </c>
      <c r="D829" t="s">
        <v>60</v>
      </c>
      <c r="E829" t="s">
        <v>103</v>
      </c>
      <c r="F829" t="s">
        <v>75</v>
      </c>
      <c r="G829" t="s">
        <v>74</v>
      </c>
      <c r="H829" t="s">
        <v>1018</v>
      </c>
      <c r="I829" t="s">
        <v>209</v>
      </c>
      <c r="J829" s="2">
        <v>217.62</v>
      </c>
      <c r="K829">
        <v>3</v>
      </c>
      <c r="L829" t="s">
        <v>85</v>
      </c>
      <c r="M829">
        <v>5</v>
      </c>
      <c r="N829">
        <v>2</v>
      </c>
      <c r="O829">
        <v>1</v>
      </c>
      <c r="P829" t="s">
        <v>74</v>
      </c>
      <c r="Q829" t="s">
        <v>109</v>
      </c>
      <c r="R829">
        <v>2</v>
      </c>
      <c r="S829">
        <v>3</v>
      </c>
      <c r="T829" t="s">
        <v>84</v>
      </c>
      <c r="U829" t="s">
        <v>90</v>
      </c>
      <c r="V829" t="s">
        <v>81</v>
      </c>
      <c r="W829" s="3">
        <v>45336</v>
      </c>
      <c r="X829" t="b">
        <v>0</v>
      </c>
      <c r="Y829" t="b">
        <v>1</v>
      </c>
      <c r="Z829" t="s">
        <v>92</v>
      </c>
      <c r="AA829" t="s">
        <v>71</v>
      </c>
      <c r="AB829">
        <v>5</v>
      </c>
      <c r="AO829" t="str">
        <f t="shared" si="42"/>
        <v>26-40</v>
      </c>
      <c r="BD829">
        <v>3</v>
      </c>
      <c r="BF829" cm="1">
        <f t="array" ref="BF829">CORREL(J829:J1829,S829:S1829)</f>
        <v>-0.0922892054016468</v>
      </c>
      <c r="BH829">
        <v>3</v>
      </c>
      <c r="BI829">
        <f t="shared" si="40"/>
        <v>1</v>
      </c>
      <c r="BJ829">
        <f t="shared" si="41"/>
        <v>3</v>
      </c>
    </row>
    <row r="830" spans="1:62">
      <c r="A830" s="1">
        <v>654311264</v>
      </c>
      <c r="B830">
        <v>21</v>
      </c>
      <c r="C830" t="s">
        <v>73</v>
      </c>
      <c r="D830" t="s">
        <v>60</v>
      </c>
      <c r="E830" t="s">
        <v>86</v>
      </c>
      <c r="F830" t="s">
        <v>62</v>
      </c>
      <c r="G830" t="s">
        <v>74</v>
      </c>
      <c r="H830" t="s">
        <v>1019</v>
      </c>
      <c r="I830" t="s">
        <v>107</v>
      </c>
      <c r="J830" s="2">
        <v>226.04</v>
      </c>
      <c r="K830">
        <v>11</v>
      </c>
      <c r="L830" t="s">
        <v>85</v>
      </c>
      <c r="M830">
        <v>4</v>
      </c>
      <c r="N830">
        <v>1</v>
      </c>
      <c r="O830">
        <v>1</v>
      </c>
      <c r="P830" t="s">
        <v>66</v>
      </c>
      <c r="Q830" t="s">
        <v>109</v>
      </c>
      <c r="R830">
        <v>0</v>
      </c>
      <c r="S830">
        <v>9</v>
      </c>
      <c r="T830" t="s">
        <v>79</v>
      </c>
      <c r="U830" t="s">
        <v>105</v>
      </c>
      <c r="V830" t="s">
        <v>81</v>
      </c>
      <c r="W830" s="3">
        <v>45426</v>
      </c>
      <c r="X830" t="b">
        <v>1</v>
      </c>
      <c r="Y830" t="b">
        <v>0</v>
      </c>
      <c r="Z830" t="s">
        <v>82</v>
      </c>
      <c r="AA830" t="s">
        <v>97</v>
      </c>
      <c r="AB830">
        <v>12</v>
      </c>
      <c r="AO830" t="str">
        <f t="shared" si="42"/>
        <v>18-25</v>
      </c>
      <c r="BD830">
        <v>11</v>
      </c>
      <c r="BF830" cm="1">
        <f t="array" ref="BF830">CORREL(J830:J1830,S830:S1830)</f>
        <v>-0.0949823042732724</v>
      </c>
      <c r="BH830">
        <v>9</v>
      </c>
      <c r="BI830">
        <f t="shared" si="40"/>
        <v>1.22222222222222</v>
      </c>
      <c r="BJ830">
        <f t="shared" si="41"/>
        <v>7.36363636363636</v>
      </c>
    </row>
    <row r="831" spans="1:62">
      <c r="A831" s="1">
        <v>733678478</v>
      </c>
      <c r="B831">
        <v>41</v>
      </c>
      <c r="C831" t="s">
        <v>150</v>
      </c>
      <c r="D831" t="s">
        <v>74</v>
      </c>
      <c r="E831" t="s">
        <v>86</v>
      </c>
      <c r="F831" t="s">
        <v>62</v>
      </c>
      <c r="G831" t="s">
        <v>74</v>
      </c>
      <c r="H831" t="s">
        <v>1020</v>
      </c>
      <c r="I831" t="s">
        <v>129</v>
      </c>
      <c r="J831" s="2">
        <v>52.79</v>
      </c>
      <c r="K831">
        <v>4</v>
      </c>
      <c r="L831" t="s">
        <v>85</v>
      </c>
      <c r="M831">
        <v>2</v>
      </c>
      <c r="N831">
        <v>2</v>
      </c>
      <c r="O831">
        <v>0</v>
      </c>
      <c r="P831" t="s">
        <v>84</v>
      </c>
      <c r="Q831" t="s">
        <v>80</v>
      </c>
      <c r="R831">
        <v>1</v>
      </c>
      <c r="S831">
        <v>7</v>
      </c>
      <c r="T831" t="s">
        <v>66</v>
      </c>
      <c r="U831" t="s">
        <v>68</v>
      </c>
      <c r="V831" t="s">
        <v>91</v>
      </c>
      <c r="W831" s="3">
        <v>45328</v>
      </c>
      <c r="X831" t="b">
        <v>1</v>
      </c>
      <c r="Y831" t="b">
        <v>1</v>
      </c>
      <c r="Z831" t="s">
        <v>92</v>
      </c>
      <c r="AA831" t="s">
        <v>97</v>
      </c>
      <c r="AB831">
        <v>4</v>
      </c>
      <c r="AO831" t="str">
        <f t="shared" si="42"/>
        <v>41-60</v>
      </c>
      <c r="BD831">
        <v>4</v>
      </c>
      <c r="BF831" cm="1">
        <f t="array" ref="BF831">CORREL(J831:J1831,S831:S1831)</f>
        <v>-0.0924564894225351</v>
      </c>
      <c r="BH831">
        <v>7</v>
      </c>
      <c r="BI831">
        <f t="shared" si="40"/>
        <v>0.571428571428571</v>
      </c>
      <c r="BJ831">
        <f t="shared" si="41"/>
        <v>12.25</v>
      </c>
    </row>
    <row r="832" spans="1:62">
      <c r="A832" s="1">
        <v>841628799</v>
      </c>
      <c r="B832">
        <v>43</v>
      </c>
      <c r="C832" t="s">
        <v>73</v>
      </c>
      <c r="D832" t="s">
        <v>60</v>
      </c>
      <c r="E832" t="s">
        <v>98</v>
      </c>
      <c r="F832" t="s">
        <v>75</v>
      </c>
      <c r="G832" t="s">
        <v>74</v>
      </c>
      <c r="H832" t="s">
        <v>1021</v>
      </c>
      <c r="I832" t="s">
        <v>209</v>
      </c>
      <c r="J832" s="2">
        <v>385.08</v>
      </c>
      <c r="K832">
        <v>7</v>
      </c>
      <c r="L832" t="s">
        <v>78</v>
      </c>
      <c r="M832">
        <v>2</v>
      </c>
      <c r="N832">
        <v>4</v>
      </c>
      <c r="O832">
        <v>1</v>
      </c>
      <c r="P832" t="s">
        <v>74</v>
      </c>
      <c r="Q832" t="s">
        <v>67</v>
      </c>
      <c r="R832">
        <v>1</v>
      </c>
      <c r="S832">
        <v>1</v>
      </c>
      <c r="T832" t="s">
        <v>84</v>
      </c>
      <c r="U832" t="s">
        <v>68</v>
      </c>
      <c r="V832" t="s">
        <v>91</v>
      </c>
      <c r="W832" s="3">
        <v>45608</v>
      </c>
      <c r="X832" t="b">
        <v>0</v>
      </c>
      <c r="Y832" t="b">
        <v>1</v>
      </c>
      <c r="Z832" t="s">
        <v>92</v>
      </c>
      <c r="AA832" t="s">
        <v>71</v>
      </c>
      <c r="AB832">
        <v>1</v>
      </c>
      <c r="AO832" t="str">
        <f t="shared" si="42"/>
        <v>41-60</v>
      </c>
      <c r="BD832">
        <v>7</v>
      </c>
      <c r="BF832" cm="1">
        <f t="array" ref="BF832">CORREL(J832:J1832,S832:S1832)</f>
        <v>-0.0875872621351192</v>
      </c>
      <c r="BH832">
        <v>1</v>
      </c>
      <c r="BI832">
        <f t="shared" si="40"/>
        <v>7</v>
      </c>
      <c r="BJ832">
        <f t="shared" si="41"/>
        <v>0.142857142857143</v>
      </c>
    </row>
    <row r="833" spans="1:62">
      <c r="A833" s="1">
        <v>515469992</v>
      </c>
      <c r="B833">
        <v>33</v>
      </c>
      <c r="C833" t="s">
        <v>73</v>
      </c>
      <c r="D833" t="s">
        <v>74</v>
      </c>
      <c r="E833" t="s">
        <v>98</v>
      </c>
      <c r="F833" t="s">
        <v>87</v>
      </c>
      <c r="G833" t="s">
        <v>60</v>
      </c>
      <c r="H833" t="s">
        <v>570</v>
      </c>
      <c r="I833" t="s">
        <v>124</v>
      </c>
      <c r="J833" s="2">
        <v>181.1</v>
      </c>
      <c r="K833">
        <v>2</v>
      </c>
      <c r="L833" t="s">
        <v>85</v>
      </c>
      <c r="M833">
        <v>2</v>
      </c>
      <c r="N833">
        <v>5</v>
      </c>
      <c r="O833">
        <v>2</v>
      </c>
      <c r="P833" t="s">
        <v>84</v>
      </c>
      <c r="Q833" t="s">
        <v>80</v>
      </c>
      <c r="R833">
        <v>2</v>
      </c>
      <c r="S833">
        <v>7</v>
      </c>
      <c r="T833" t="s">
        <v>84</v>
      </c>
      <c r="U833" t="s">
        <v>68</v>
      </c>
      <c r="V833" t="s">
        <v>69</v>
      </c>
      <c r="W833" s="3">
        <v>45652</v>
      </c>
      <c r="X833" t="b">
        <v>0</v>
      </c>
      <c r="Y833" t="b">
        <v>0</v>
      </c>
      <c r="Z833" t="s">
        <v>92</v>
      </c>
      <c r="AA833" t="s">
        <v>71</v>
      </c>
      <c r="AB833">
        <v>5</v>
      </c>
      <c r="AO833" t="str">
        <f t="shared" si="42"/>
        <v>26-40</v>
      </c>
      <c r="BD833">
        <v>2</v>
      </c>
      <c r="BF833" cm="1">
        <f t="array" ref="BF833">CORREL(J833:J1833,S833:S1833)</f>
        <v>-0.0806993594744707</v>
      </c>
      <c r="BH833">
        <v>7</v>
      </c>
      <c r="BI833">
        <f t="shared" si="40"/>
        <v>0.285714285714286</v>
      </c>
      <c r="BJ833">
        <f t="shared" si="41"/>
        <v>24.5</v>
      </c>
    </row>
    <row r="834" spans="1:62">
      <c r="A834" s="1">
        <v>891893295</v>
      </c>
      <c r="B834">
        <v>23</v>
      </c>
      <c r="C834" t="s">
        <v>59</v>
      </c>
      <c r="D834" t="s">
        <v>60</v>
      </c>
      <c r="E834" t="s">
        <v>86</v>
      </c>
      <c r="F834" t="s">
        <v>87</v>
      </c>
      <c r="G834" t="s">
        <v>60</v>
      </c>
      <c r="H834" t="s">
        <v>1022</v>
      </c>
      <c r="I834" t="s">
        <v>89</v>
      </c>
      <c r="J834" s="2">
        <v>246.41</v>
      </c>
      <c r="K834">
        <v>7</v>
      </c>
      <c r="L834" t="s">
        <v>78</v>
      </c>
      <c r="M834">
        <v>2</v>
      </c>
      <c r="N834">
        <v>4</v>
      </c>
      <c r="O834">
        <v>0</v>
      </c>
      <c r="P834" t="s">
        <v>66</v>
      </c>
      <c r="Q834" t="s">
        <v>67</v>
      </c>
      <c r="R834">
        <v>2</v>
      </c>
      <c r="S834">
        <v>8</v>
      </c>
      <c r="T834" t="s">
        <v>84</v>
      </c>
      <c r="U834" t="s">
        <v>90</v>
      </c>
      <c r="V834" t="s">
        <v>110</v>
      </c>
      <c r="W834" s="3">
        <v>45566</v>
      </c>
      <c r="X834" t="b">
        <v>1</v>
      </c>
      <c r="Y834" t="b">
        <v>0</v>
      </c>
      <c r="Z834" t="s">
        <v>70</v>
      </c>
      <c r="AA834" t="s">
        <v>83</v>
      </c>
      <c r="AB834">
        <v>11</v>
      </c>
      <c r="AO834" t="str">
        <f t="shared" si="42"/>
        <v>18-25</v>
      </c>
      <c r="BD834">
        <v>7</v>
      </c>
      <c r="BF834" cm="1">
        <f t="array" ref="BF834">CORREL(J834:J1834,S834:S1834)</f>
        <v>-0.0783914905697968</v>
      </c>
      <c r="BH834">
        <v>8</v>
      </c>
      <c r="BI834">
        <f t="shared" si="40"/>
        <v>0.875</v>
      </c>
      <c r="BJ834">
        <f t="shared" si="41"/>
        <v>9.14285714285714</v>
      </c>
    </row>
    <row r="835" spans="1:62">
      <c r="A835" s="1">
        <v>457767217</v>
      </c>
      <c r="B835">
        <v>37</v>
      </c>
      <c r="C835" t="s">
        <v>59</v>
      </c>
      <c r="D835" t="s">
        <v>60</v>
      </c>
      <c r="E835" t="s">
        <v>103</v>
      </c>
      <c r="F835" t="s">
        <v>62</v>
      </c>
      <c r="G835" t="s">
        <v>74</v>
      </c>
      <c r="H835" t="s">
        <v>1023</v>
      </c>
      <c r="I835" t="s">
        <v>135</v>
      </c>
      <c r="J835" s="2">
        <v>140.87</v>
      </c>
      <c r="K835">
        <v>8</v>
      </c>
      <c r="L835" t="s">
        <v>78</v>
      </c>
      <c r="M835">
        <v>3</v>
      </c>
      <c r="N835">
        <v>3</v>
      </c>
      <c r="O835">
        <v>2</v>
      </c>
      <c r="P835" t="s">
        <v>84</v>
      </c>
      <c r="Q835" t="s">
        <v>80</v>
      </c>
      <c r="R835">
        <v>2</v>
      </c>
      <c r="S835">
        <v>7</v>
      </c>
      <c r="T835" t="s">
        <v>79</v>
      </c>
      <c r="U835" t="s">
        <v>68</v>
      </c>
      <c r="V835" t="s">
        <v>96</v>
      </c>
      <c r="W835" s="3">
        <v>45354</v>
      </c>
      <c r="X835" t="b">
        <v>1</v>
      </c>
      <c r="Y835" t="b">
        <v>0</v>
      </c>
      <c r="Z835" t="s">
        <v>92</v>
      </c>
      <c r="AA835" t="s">
        <v>71</v>
      </c>
      <c r="AB835">
        <v>9</v>
      </c>
      <c r="AO835" t="str">
        <f t="shared" si="42"/>
        <v>26-40</v>
      </c>
      <c r="BD835">
        <v>8</v>
      </c>
      <c r="BF835" cm="1">
        <f t="array" ref="BF835">CORREL(J835:J1835,S835:S1835)</f>
        <v>-0.0771689607747041</v>
      </c>
      <c r="BH835">
        <v>7</v>
      </c>
      <c r="BI835">
        <f t="shared" ref="BI835:BI870" si="43">K835/S835</f>
        <v>1.14285714285714</v>
      </c>
      <c r="BJ835">
        <f t="shared" ref="BJ835:BJ898" si="44">BH835/BI835</f>
        <v>6.125</v>
      </c>
    </row>
    <row r="836" spans="1:62">
      <c r="A836" s="1">
        <v>713545174</v>
      </c>
      <c r="B836">
        <v>34</v>
      </c>
      <c r="C836" t="s">
        <v>59</v>
      </c>
      <c r="D836" t="s">
        <v>74</v>
      </c>
      <c r="E836" t="s">
        <v>86</v>
      </c>
      <c r="F836" t="s">
        <v>87</v>
      </c>
      <c r="G836" t="s">
        <v>74</v>
      </c>
      <c r="H836" t="s">
        <v>1024</v>
      </c>
      <c r="I836" t="s">
        <v>133</v>
      </c>
      <c r="J836" s="2">
        <v>151.25</v>
      </c>
      <c r="K836">
        <v>2</v>
      </c>
      <c r="L836" t="s">
        <v>78</v>
      </c>
      <c r="M836">
        <v>2</v>
      </c>
      <c r="N836">
        <v>5</v>
      </c>
      <c r="O836">
        <v>0</v>
      </c>
      <c r="P836" t="s">
        <v>79</v>
      </c>
      <c r="Q836" t="s">
        <v>67</v>
      </c>
      <c r="R836">
        <v>1</v>
      </c>
      <c r="S836">
        <v>8</v>
      </c>
      <c r="T836" t="s">
        <v>79</v>
      </c>
      <c r="U836" t="s">
        <v>68</v>
      </c>
      <c r="V836" t="s">
        <v>91</v>
      </c>
      <c r="W836" s="3">
        <v>45402</v>
      </c>
      <c r="X836" t="b">
        <v>1</v>
      </c>
      <c r="Y836" t="b">
        <v>0</v>
      </c>
      <c r="Z836" t="s">
        <v>102</v>
      </c>
      <c r="AA836" t="s">
        <v>71</v>
      </c>
      <c r="AB836">
        <v>10</v>
      </c>
      <c r="AO836" t="str">
        <f t="shared" si="42"/>
        <v>26-40</v>
      </c>
      <c r="BD836">
        <v>2</v>
      </c>
      <c r="BF836" cm="1">
        <f t="array" ref="BF836">CORREL(J836:J1836,S836:S1836)</f>
        <v>-0.0738567608211252</v>
      </c>
      <c r="BH836">
        <v>8</v>
      </c>
      <c r="BI836">
        <f t="shared" si="43"/>
        <v>0.25</v>
      </c>
      <c r="BJ836">
        <f t="shared" si="44"/>
        <v>32</v>
      </c>
    </row>
    <row r="837" spans="1:62">
      <c r="A837" s="4" t="s">
        <v>1025</v>
      </c>
      <c r="B837">
        <v>27</v>
      </c>
      <c r="C837" t="s">
        <v>73</v>
      </c>
      <c r="D837" t="s">
        <v>74</v>
      </c>
      <c r="E837" t="s">
        <v>103</v>
      </c>
      <c r="F837" t="s">
        <v>87</v>
      </c>
      <c r="G837" t="s">
        <v>60</v>
      </c>
      <c r="H837" t="s">
        <v>1026</v>
      </c>
      <c r="I837" t="s">
        <v>124</v>
      </c>
      <c r="J837" s="2">
        <v>171.52</v>
      </c>
      <c r="K837">
        <v>3</v>
      </c>
      <c r="L837" t="s">
        <v>65</v>
      </c>
      <c r="M837">
        <v>5</v>
      </c>
      <c r="N837">
        <v>5</v>
      </c>
      <c r="O837">
        <v>2</v>
      </c>
      <c r="P837" t="s">
        <v>79</v>
      </c>
      <c r="Q837" t="s">
        <v>109</v>
      </c>
      <c r="R837">
        <v>1</v>
      </c>
      <c r="S837">
        <v>9</v>
      </c>
      <c r="T837" t="s">
        <v>79</v>
      </c>
      <c r="U837" t="s">
        <v>90</v>
      </c>
      <c r="V837" t="s">
        <v>110</v>
      </c>
      <c r="W837" s="3">
        <v>45525</v>
      </c>
      <c r="X837" t="b">
        <v>1</v>
      </c>
      <c r="Y837" t="b">
        <v>1</v>
      </c>
      <c r="Z837" t="s">
        <v>102</v>
      </c>
      <c r="AA837" t="s">
        <v>83</v>
      </c>
      <c r="AB837">
        <v>12</v>
      </c>
      <c r="AO837" t="str">
        <f t="shared" si="42"/>
        <v>26-40</v>
      </c>
      <c r="BD837">
        <v>3</v>
      </c>
      <c r="BF837" cm="1">
        <f t="array" ref="BF837">CORREL(J837:J1837,S837:S1837)</f>
        <v>-0.0686337056099733</v>
      </c>
      <c r="BH837">
        <v>9</v>
      </c>
      <c r="BI837">
        <f t="shared" si="43"/>
        <v>0.333333333333333</v>
      </c>
      <c r="BJ837">
        <f t="shared" si="44"/>
        <v>27</v>
      </c>
    </row>
    <row r="838" spans="1:62">
      <c r="A838" s="1">
        <v>428592475</v>
      </c>
      <c r="B838">
        <v>40</v>
      </c>
      <c r="C838" t="s">
        <v>73</v>
      </c>
      <c r="D838" t="s">
        <v>60</v>
      </c>
      <c r="E838" t="s">
        <v>98</v>
      </c>
      <c r="F838" t="s">
        <v>87</v>
      </c>
      <c r="G838" t="s">
        <v>74</v>
      </c>
      <c r="H838" t="s">
        <v>1027</v>
      </c>
      <c r="I838" t="s">
        <v>113</v>
      </c>
      <c r="J838" s="2">
        <v>399.56</v>
      </c>
      <c r="K838">
        <v>10</v>
      </c>
      <c r="L838" t="s">
        <v>85</v>
      </c>
      <c r="M838">
        <v>4</v>
      </c>
      <c r="N838">
        <v>2</v>
      </c>
      <c r="O838">
        <v>1</v>
      </c>
      <c r="P838" t="s">
        <v>84</v>
      </c>
      <c r="Q838" t="s">
        <v>80</v>
      </c>
      <c r="R838">
        <v>0</v>
      </c>
      <c r="S838">
        <v>4</v>
      </c>
      <c r="T838" t="s">
        <v>79</v>
      </c>
      <c r="U838" t="s">
        <v>105</v>
      </c>
      <c r="V838" t="s">
        <v>110</v>
      </c>
      <c r="W838" s="3">
        <v>45586</v>
      </c>
      <c r="X838" t="b">
        <v>1</v>
      </c>
      <c r="Y838" t="b">
        <v>1</v>
      </c>
      <c r="Z838" t="s">
        <v>70</v>
      </c>
      <c r="AA838" t="s">
        <v>71</v>
      </c>
      <c r="AB838">
        <v>1</v>
      </c>
      <c r="AO838" t="str">
        <f t="shared" si="42"/>
        <v>26-40</v>
      </c>
      <c r="BD838">
        <v>10</v>
      </c>
      <c r="BF838" cm="1">
        <f t="array" ref="BF838">CORREL(J838:J1838,S838:S1838)</f>
        <v>-0.0623977131639833</v>
      </c>
      <c r="BH838">
        <v>4</v>
      </c>
      <c r="BI838">
        <f t="shared" si="43"/>
        <v>2.5</v>
      </c>
      <c r="BJ838">
        <f t="shared" si="44"/>
        <v>1.6</v>
      </c>
    </row>
    <row r="839" spans="1:62">
      <c r="A839" s="1">
        <v>340941923</v>
      </c>
      <c r="B839">
        <v>40</v>
      </c>
      <c r="C839" t="s">
        <v>59</v>
      </c>
      <c r="D839" t="s">
        <v>60</v>
      </c>
      <c r="E839" t="s">
        <v>98</v>
      </c>
      <c r="F839" t="s">
        <v>87</v>
      </c>
      <c r="G839" t="s">
        <v>60</v>
      </c>
      <c r="H839" t="s">
        <v>1028</v>
      </c>
      <c r="I839" t="s">
        <v>113</v>
      </c>
      <c r="J839" s="2">
        <v>173.46</v>
      </c>
      <c r="K839">
        <v>4</v>
      </c>
      <c r="L839" t="s">
        <v>65</v>
      </c>
      <c r="M839">
        <v>5</v>
      </c>
      <c r="N839">
        <v>3</v>
      </c>
      <c r="O839">
        <v>1</v>
      </c>
      <c r="P839" t="s">
        <v>66</v>
      </c>
      <c r="Q839" t="s">
        <v>80</v>
      </c>
      <c r="R839">
        <v>0</v>
      </c>
      <c r="S839">
        <v>9</v>
      </c>
      <c r="T839" t="s">
        <v>79</v>
      </c>
      <c r="U839" t="s">
        <v>90</v>
      </c>
      <c r="V839" t="s">
        <v>81</v>
      </c>
      <c r="W839" s="3">
        <v>45393</v>
      </c>
      <c r="X839" t="b">
        <v>0</v>
      </c>
      <c r="Y839" t="b">
        <v>1</v>
      </c>
      <c r="Z839" t="s">
        <v>82</v>
      </c>
      <c r="AA839" t="s">
        <v>71</v>
      </c>
      <c r="AB839">
        <v>2</v>
      </c>
      <c r="AO839" t="str">
        <f t="shared" si="42"/>
        <v>26-40</v>
      </c>
      <c r="BD839">
        <v>4</v>
      </c>
      <c r="BF839" cm="1">
        <f t="array" ref="BF839">CORREL(J839:J1839,S839:S1839)</f>
        <v>-0.0598151901755997</v>
      </c>
      <c r="BH839">
        <v>9</v>
      </c>
      <c r="BI839">
        <f t="shared" si="43"/>
        <v>0.444444444444444</v>
      </c>
      <c r="BJ839">
        <f t="shared" si="44"/>
        <v>20.25</v>
      </c>
    </row>
    <row r="840" spans="1:62">
      <c r="A840" s="1">
        <v>577978139</v>
      </c>
      <c r="B840">
        <v>43</v>
      </c>
      <c r="C840" t="s">
        <v>73</v>
      </c>
      <c r="D840" t="s">
        <v>74</v>
      </c>
      <c r="E840" t="s">
        <v>98</v>
      </c>
      <c r="F840" t="s">
        <v>62</v>
      </c>
      <c r="G840" t="s">
        <v>74</v>
      </c>
      <c r="H840" t="s">
        <v>1029</v>
      </c>
      <c r="I840" t="s">
        <v>137</v>
      </c>
      <c r="J840" s="2">
        <v>332.14</v>
      </c>
      <c r="K840">
        <v>10</v>
      </c>
      <c r="L840" t="s">
        <v>85</v>
      </c>
      <c r="M840">
        <v>4</v>
      </c>
      <c r="N840">
        <v>4</v>
      </c>
      <c r="O840">
        <v>0</v>
      </c>
      <c r="P840" t="s">
        <v>84</v>
      </c>
      <c r="Q840" t="s">
        <v>67</v>
      </c>
      <c r="R840">
        <v>1</v>
      </c>
      <c r="S840">
        <v>2</v>
      </c>
      <c r="T840" t="s">
        <v>66</v>
      </c>
      <c r="U840" t="s">
        <v>105</v>
      </c>
      <c r="V840" t="s">
        <v>81</v>
      </c>
      <c r="W840" s="3">
        <v>45331</v>
      </c>
      <c r="X840" t="b">
        <v>1</v>
      </c>
      <c r="Y840" t="b">
        <v>1</v>
      </c>
      <c r="Z840" t="s">
        <v>102</v>
      </c>
      <c r="AA840" t="s">
        <v>71</v>
      </c>
      <c r="AB840">
        <v>13</v>
      </c>
      <c r="AO840" t="str">
        <f t="shared" si="42"/>
        <v>41-60</v>
      </c>
      <c r="BD840">
        <v>10</v>
      </c>
      <c r="BF840" cm="1">
        <f t="array" ref="BF840">CORREL(J840:J1840,S840:S1840)</f>
        <v>-0.0535414192879246</v>
      </c>
      <c r="BH840">
        <v>2</v>
      </c>
      <c r="BI840">
        <f t="shared" si="43"/>
        <v>5</v>
      </c>
      <c r="BJ840">
        <f t="shared" si="44"/>
        <v>0.4</v>
      </c>
    </row>
    <row r="841" spans="1:62">
      <c r="A841" s="1">
        <v>210488669</v>
      </c>
      <c r="B841">
        <v>37</v>
      </c>
      <c r="C841" t="s">
        <v>175</v>
      </c>
      <c r="D841" t="s">
        <v>60</v>
      </c>
      <c r="E841" t="s">
        <v>86</v>
      </c>
      <c r="F841" t="s">
        <v>62</v>
      </c>
      <c r="G841" t="s">
        <v>60</v>
      </c>
      <c r="H841" t="s">
        <v>1030</v>
      </c>
      <c r="I841" t="s">
        <v>77</v>
      </c>
      <c r="J841" s="2">
        <v>247.05</v>
      </c>
      <c r="K841">
        <v>8</v>
      </c>
      <c r="L841" t="s">
        <v>78</v>
      </c>
      <c r="M841">
        <v>3</v>
      </c>
      <c r="N841">
        <v>2</v>
      </c>
      <c r="O841">
        <v>1</v>
      </c>
      <c r="P841" t="s">
        <v>84</v>
      </c>
      <c r="Q841" t="s">
        <v>67</v>
      </c>
      <c r="R841">
        <v>1</v>
      </c>
      <c r="S841">
        <v>8</v>
      </c>
      <c r="T841" t="s">
        <v>74</v>
      </c>
      <c r="U841" t="s">
        <v>105</v>
      </c>
      <c r="V841" t="s">
        <v>110</v>
      </c>
      <c r="W841" s="3">
        <v>45437</v>
      </c>
      <c r="X841" t="b">
        <v>0</v>
      </c>
      <c r="Y841" t="b">
        <v>0</v>
      </c>
      <c r="Z841" t="s">
        <v>82</v>
      </c>
      <c r="AA841" t="s">
        <v>83</v>
      </c>
      <c r="AB841">
        <v>2</v>
      </c>
      <c r="AO841" t="str">
        <f t="shared" si="42"/>
        <v>26-40</v>
      </c>
      <c r="BD841">
        <v>8</v>
      </c>
      <c r="BF841" cm="1">
        <f t="array" ref="BF841">CORREL(J841:J1841,S841:S1841)</f>
        <v>-0.050929625409059</v>
      </c>
      <c r="BH841">
        <v>8</v>
      </c>
      <c r="BI841">
        <f t="shared" si="43"/>
        <v>1</v>
      </c>
      <c r="BJ841">
        <f t="shared" si="44"/>
        <v>8</v>
      </c>
    </row>
    <row r="842" spans="1:62">
      <c r="A842" s="1">
        <v>300388752</v>
      </c>
      <c r="B842">
        <v>49</v>
      </c>
      <c r="C842" t="s">
        <v>73</v>
      </c>
      <c r="D842" t="s">
        <v>74</v>
      </c>
      <c r="E842" t="s">
        <v>86</v>
      </c>
      <c r="F842" t="s">
        <v>62</v>
      </c>
      <c r="G842" t="s">
        <v>74</v>
      </c>
      <c r="H842" t="s">
        <v>1031</v>
      </c>
      <c r="I842" t="s">
        <v>89</v>
      </c>
      <c r="J842" s="2">
        <v>365.88</v>
      </c>
      <c r="K842">
        <v>10</v>
      </c>
      <c r="L842" t="s">
        <v>65</v>
      </c>
      <c r="M842">
        <v>4</v>
      </c>
      <c r="N842">
        <v>5</v>
      </c>
      <c r="O842">
        <v>1</v>
      </c>
      <c r="P842" t="s">
        <v>66</v>
      </c>
      <c r="Q842" t="s">
        <v>67</v>
      </c>
      <c r="R842">
        <v>1</v>
      </c>
      <c r="S842">
        <v>1</v>
      </c>
      <c r="T842" t="s">
        <v>79</v>
      </c>
      <c r="U842" t="s">
        <v>68</v>
      </c>
      <c r="V842" t="s">
        <v>81</v>
      </c>
      <c r="W842" s="3">
        <v>45398</v>
      </c>
      <c r="X842" t="b">
        <v>0</v>
      </c>
      <c r="Y842" t="b">
        <v>0</v>
      </c>
      <c r="Z842" t="s">
        <v>82</v>
      </c>
      <c r="AA842" t="s">
        <v>97</v>
      </c>
      <c r="AB842">
        <v>9</v>
      </c>
      <c r="AO842" t="str">
        <f t="shared" si="42"/>
        <v>41-60</v>
      </c>
      <c r="BD842">
        <v>10</v>
      </c>
      <c r="BF842" cm="1">
        <f t="array" ref="BF842">CORREL(J842:J1842,S842:S1842)</f>
        <v>-0.0494902159094687</v>
      </c>
      <c r="BH842">
        <v>1</v>
      </c>
      <c r="BI842">
        <f t="shared" si="43"/>
        <v>10</v>
      </c>
      <c r="BJ842">
        <f t="shared" si="44"/>
        <v>0.1</v>
      </c>
    </row>
    <row r="843" spans="1:62">
      <c r="A843" s="4" t="s">
        <v>1032</v>
      </c>
      <c r="B843">
        <v>27</v>
      </c>
      <c r="C843" t="s">
        <v>59</v>
      </c>
      <c r="D843" t="s">
        <v>60</v>
      </c>
      <c r="E843" t="s">
        <v>61</v>
      </c>
      <c r="F843" t="s">
        <v>62</v>
      </c>
      <c r="G843" t="s">
        <v>60</v>
      </c>
      <c r="H843" t="s">
        <v>1033</v>
      </c>
      <c r="I843" t="s">
        <v>137</v>
      </c>
      <c r="J843" s="2">
        <v>354.92</v>
      </c>
      <c r="K843">
        <v>8</v>
      </c>
      <c r="L843" t="s">
        <v>65</v>
      </c>
      <c r="M843">
        <v>5</v>
      </c>
      <c r="N843">
        <v>4</v>
      </c>
      <c r="O843">
        <v>0</v>
      </c>
      <c r="P843" t="s">
        <v>66</v>
      </c>
      <c r="Q843" t="s">
        <v>67</v>
      </c>
      <c r="R843">
        <v>0</v>
      </c>
      <c r="S843">
        <v>1</v>
      </c>
      <c r="T843" t="s">
        <v>66</v>
      </c>
      <c r="U843" t="s">
        <v>68</v>
      </c>
      <c r="V843" t="s">
        <v>91</v>
      </c>
      <c r="W843" s="3">
        <v>45339</v>
      </c>
      <c r="X843" t="b">
        <v>1</v>
      </c>
      <c r="Y843" t="b">
        <v>1</v>
      </c>
      <c r="Z843" t="s">
        <v>82</v>
      </c>
      <c r="AA843" t="s">
        <v>97</v>
      </c>
      <c r="AB843">
        <v>13</v>
      </c>
      <c r="AO843" t="str">
        <f t="shared" si="42"/>
        <v>26-40</v>
      </c>
      <c r="BD843">
        <v>8</v>
      </c>
      <c r="BF843" cm="1">
        <f t="array" ref="BF843">CORREL(J843:J1843,S843:S1843)</f>
        <v>-0.0435619757285368</v>
      </c>
      <c r="BH843">
        <v>1</v>
      </c>
      <c r="BI843">
        <f t="shared" si="43"/>
        <v>8</v>
      </c>
      <c r="BJ843">
        <f t="shared" si="44"/>
        <v>0.125</v>
      </c>
    </row>
    <row r="844" spans="1:62">
      <c r="A844" s="1">
        <v>718175422</v>
      </c>
      <c r="B844">
        <v>19</v>
      </c>
      <c r="C844" t="s">
        <v>59</v>
      </c>
      <c r="D844" t="s">
        <v>74</v>
      </c>
      <c r="E844" t="s">
        <v>86</v>
      </c>
      <c r="F844" t="s">
        <v>75</v>
      </c>
      <c r="G844" t="s">
        <v>74</v>
      </c>
      <c r="H844" t="s">
        <v>1034</v>
      </c>
      <c r="I844" t="s">
        <v>209</v>
      </c>
      <c r="J844" s="2">
        <v>195.46</v>
      </c>
      <c r="K844">
        <v>10</v>
      </c>
      <c r="L844" t="s">
        <v>65</v>
      </c>
      <c r="M844">
        <v>5</v>
      </c>
      <c r="N844">
        <v>3</v>
      </c>
      <c r="O844">
        <v>2</v>
      </c>
      <c r="P844" t="s">
        <v>66</v>
      </c>
      <c r="Q844" t="s">
        <v>80</v>
      </c>
      <c r="R844">
        <v>0</v>
      </c>
      <c r="S844">
        <v>10</v>
      </c>
      <c r="T844" t="s">
        <v>84</v>
      </c>
      <c r="U844" t="s">
        <v>68</v>
      </c>
      <c r="V844" t="s">
        <v>96</v>
      </c>
      <c r="W844" s="3">
        <v>45480</v>
      </c>
      <c r="X844" t="b">
        <v>1</v>
      </c>
      <c r="Y844" t="b">
        <v>0</v>
      </c>
      <c r="Z844" t="s">
        <v>92</v>
      </c>
      <c r="AA844" t="s">
        <v>83</v>
      </c>
      <c r="AB844">
        <v>9</v>
      </c>
      <c r="AO844" t="str">
        <f t="shared" si="42"/>
        <v>18-25</v>
      </c>
      <c r="BD844">
        <v>10</v>
      </c>
      <c r="BF844" cm="1">
        <f t="array" ref="BF844">CORREL(J844:J1844,S844:S1844)</f>
        <v>-0.0382895684304886</v>
      </c>
      <c r="BH844">
        <v>10</v>
      </c>
      <c r="BI844">
        <f t="shared" si="43"/>
        <v>1</v>
      </c>
      <c r="BJ844">
        <f t="shared" si="44"/>
        <v>10</v>
      </c>
    </row>
    <row r="845" spans="1:62">
      <c r="A845" s="1">
        <v>685120568</v>
      </c>
      <c r="B845">
        <v>40</v>
      </c>
      <c r="C845" t="s">
        <v>59</v>
      </c>
      <c r="D845" t="s">
        <v>74</v>
      </c>
      <c r="E845" t="s">
        <v>61</v>
      </c>
      <c r="F845" t="s">
        <v>87</v>
      </c>
      <c r="G845" t="s">
        <v>60</v>
      </c>
      <c r="H845" t="s">
        <v>1035</v>
      </c>
      <c r="I845" t="s">
        <v>107</v>
      </c>
      <c r="J845" s="2">
        <v>474.03</v>
      </c>
      <c r="K845">
        <v>7</v>
      </c>
      <c r="L845" t="s">
        <v>78</v>
      </c>
      <c r="M845">
        <v>3</v>
      </c>
      <c r="N845">
        <v>1</v>
      </c>
      <c r="O845">
        <v>1</v>
      </c>
      <c r="P845" t="s">
        <v>79</v>
      </c>
      <c r="Q845" t="s">
        <v>67</v>
      </c>
      <c r="R845">
        <v>0</v>
      </c>
      <c r="S845">
        <v>6</v>
      </c>
      <c r="T845" t="s">
        <v>74</v>
      </c>
      <c r="U845" t="s">
        <v>105</v>
      </c>
      <c r="V845" t="s">
        <v>96</v>
      </c>
      <c r="W845" s="3">
        <v>45507</v>
      </c>
      <c r="X845" t="b">
        <v>1</v>
      </c>
      <c r="Y845" t="b">
        <v>1</v>
      </c>
      <c r="Z845" t="s">
        <v>70</v>
      </c>
      <c r="AA845" t="s">
        <v>83</v>
      </c>
      <c r="AB845">
        <v>13</v>
      </c>
      <c r="AO845" t="str">
        <f t="shared" si="42"/>
        <v>26-40</v>
      </c>
      <c r="BD845">
        <v>7</v>
      </c>
      <c r="BF845" cm="1">
        <f t="array" ref="BF845">CORREL(J845:J1845,S845:S1845)</f>
        <v>-0.0316717114075025</v>
      </c>
      <c r="BH845">
        <v>6</v>
      </c>
      <c r="BI845">
        <f t="shared" si="43"/>
        <v>1.16666666666667</v>
      </c>
      <c r="BJ845">
        <f t="shared" si="44"/>
        <v>5.14285714285714</v>
      </c>
    </row>
    <row r="846" spans="1:62">
      <c r="A846" s="1">
        <v>186339387</v>
      </c>
      <c r="B846">
        <v>27</v>
      </c>
      <c r="C846" t="s">
        <v>73</v>
      </c>
      <c r="D846" t="s">
        <v>60</v>
      </c>
      <c r="E846" t="s">
        <v>61</v>
      </c>
      <c r="F846" t="s">
        <v>62</v>
      </c>
      <c r="G846" t="s">
        <v>74</v>
      </c>
      <c r="H846" t="s">
        <v>1036</v>
      </c>
      <c r="I846" t="s">
        <v>120</v>
      </c>
      <c r="J846" s="2">
        <v>106.96</v>
      </c>
      <c r="K846">
        <v>6</v>
      </c>
      <c r="L846" t="s">
        <v>78</v>
      </c>
      <c r="M846">
        <v>3</v>
      </c>
      <c r="N846">
        <v>1</v>
      </c>
      <c r="O846">
        <v>2</v>
      </c>
      <c r="P846" t="s">
        <v>84</v>
      </c>
      <c r="Q846" t="s">
        <v>80</v>
      </c>
      <c r="R846">
        <v>0</v>
      </c>
      <c r="S846">
        <v>7</v>
      </c>
      <c r="T846" t="s">
        <v>79</v>
      </c>
      <c r="U846" t="s">
        <v>68</v>
      </c>
      <c r="V846" t="s">
        <v>91</v>
      </c>
      <c r="W846" s="3">
        <v>45360</v>
      </c>
      <c r="X846" t="b">
        <v>1</v>
      </c>
      <c r="Y846" t="b">
        <v>1</v>
      </c>
      <c r="Z846" t="s">
        <v>92</v>
      </c>
      <c r="AA846" t="s">
        <v>83</v>
      </c>
      <c r="AB846">
        <v>3</v>
      </c>
      <c r="AO846" t="str">
        <f t="shared" si="42"/>
        <v>26-40</v>
      </c>
      <c r="BD846">
        <v>6</v>
      </c>
      <c r="BF846" cm="1">
        <f t="array" ref="BF846">CORREL(J846:J1846,S846:S1846)</f>
        <v>-0.0339113796947292</v>
      </c>
      <c r="BH846">
        <v>7</v>
      </c>
      <c r="BI846">
        <f t="shared" si="43"/>
        <v>0.857142857142857</v>
      </c>
      <c r="BJ846">
        <f t="shared" si="44"/>
        <v>8.16666666666667</v>
      </c>
    </row>
    <row r="847" spans="1:62">
      <c r="A847" s="4" t="s">
        <v>1037</v>
      </c>
      <c r="B847">
        <v>29</v>
      </c>
      <c r="C847" t="s">
        <v>59</v>
      </c>
      <c r="D847" t="s">
        <v>60</v>
      </c>
      <c r="E847" t="s">
        <v>61</v>
      </c>
      <c r="F847" t="s">
        <v>87</v>
      </c>
      <c r="G847" t="s">
        <v>74</v>
      </c>
      <c r="H847" t="s">
        <v>1038</v>
      </c>
      <c r="I847" t="s">
        <v>131</v>
      </c>
      <c r="J847" s="2">
        <v>371.84</v>
      </c>
      <c r="K847">
        <v>9</v>
      </c>
      <c r="L847" t="s">
        <v>78</v>
      </c>
      <c r="M847">
        <v>5</v>
      </c>
      <c r="N847">
        <v>4</v>
      </c>
      <c r="O847">
        <v>0</v>
      </c>
      <c r="P847" t="s">
        <v>66</v>
      </c>
      <c r="Q847" t="s">
        <v>80</v>
      </c>
      <c r="R847">
        <v>2</v>
      </c>
      <c r="S847">
        <v>6</v>
      </c>
      <c r="T847" t="s">
        <v>66</v>
      </c>
      <c r="U847" t="s">
        <v>68</v>
      </c>
      <c r="V847" t="s">
        <v>96</v>
      </c>
      <c r="W847" s="3">
        <v>45501</v>
      </c>
      <c r="X847" t="b">
        <v>0</v>
      </c>
      <c r="Y847" t="b">
        <v>1</v>
      </c>
      <c r="Z847" t="s">
        <v>92</v>
      </c>
      <c r="AA847" t="s">
        <v>83</v>
      </c>
      <c r="AB847">
        <v>2</v>
      </c>
      <c r="AO847" t="str">
        <f t="shared" si="42"/>
        <v>26-40</v>
      </c>
      <c r="BD847">
        <v>9</v>
      </c>
      <c r="BF847" cm="1">
        <f t="array" ref="BF847">CORREL(J847:J1847,S847:S1847)</f>
        <v>-0.029129798952589</v>
      </c>
      <c r="BH847">
        <v>6</v>
      </c>
      <c r="BI847">
        <f t="shared" si="43"/>
        <v>1.5</v>
      </c>
      <c r="BJ847">
        <f t="shared" si="44"/>
        <v>4</v>
      </c>
    </row>
    <row r="848" spans="1:62">
      <c r="A848" s="1">
        <v>977388095</v>
      </c>
      <c r="B848">
        <v>45</v>
      </c>
      <c r="C848" t="s">
        <v>188</v>
      </c>
      <c r="D848" t="s">
        <v>74</v>
      </c>
      <c r="E848" t="s">
        <v>86</v>
      </c>
      <c r="F848" t="s">
        <v>62</v>
      </c>
      <c r="G848" t="s">
        <v>74</v>
      </c>
      <c r="H848" t="s">
        <v>1039</v>
      </c>
      <c r="I848" t="s">
        <v>147</v>
      </c>
      <c r="J848" s="2">
        <v>461.16</v>
      </c>
      <c r="K848">
        <v>8</v>
      </c>
      <c r="L848" t="s">
        <v>65</v>
      </c>
      <c r="M848">
        <v>1</v>
      </c>
      <c r="N848">
        <v>4</v>
      </c>
      <c r="O848">
        <v>1</v>
      </c>
      <c r="P848" t="s">
        <v>74</v>
      </c>
      <c r="Q848" t="s">
        <v>80</v>
      </c>
      <c r="R848">
        <v>0</v>
      </c>
      <c r="S848">
        <v>3</v>
      </c>
      <c r="T848" t="s">
        <v>79</v>
      </c>
      <c r="U848" t="s">
        <v>90</v>
      </c>
      <c r="V848" t="s">
        <v>96</v>
      </c>
      <c r="W848" s="3">
        <v>45351</v>
      </c>
      <c r="X848" t="b">
        <v>1</v>
      </c>
      <c r="Y848" t="b">
        <v>1</v>
      </c>
      <c r="Z848" t="s">
        <v>102</v>
      </c>
      <c r="AA848" t="s">
        <v>97</v>
      </c>
      <c r="AB848">
        <v>14</v>
      </c>
      <c r="AO848" t="str">
        <f t="shared" si="42"/>
        <v>41-60</v>
      </c>
      <c r="BD848">
        <v>8</v>
      </c>
      <c r="BF848" cm="1">
        <f t="array" ref="BF848">CORREL(J848:J1848,S848:S1848)</f>
        <v>-0.0301544754788127</v>
      </c>
      <c r="BH848">
        <v>3</v>
      </c>
      <c r="BI848">
        <f t="shared" si="43"/>
        <v>2.66666666666667</v>
      </c>
      <c r="BJ848">
        <f t="shared" si="44"/>
        <v>1.125</v>
      </c>
    </row>
    <row r="849" spans="1:62">
      <c r="A849" s="1">
        <v>154211255</v>
      </c>
      <c r="B849">
        <v>24</v>
      </c>
      <c r="C849" t="s">
        <v>59</v>
      </c>
      <c r="D849" t="s">
        <v>74</v>
      </c>
      <c r="E849" t="s">
        <v>86</v>
      </c>
      <c r="F849" t="s">
        <v>75</v>
      </c>
      <c r="G849" t="s">
        <v>60</v>
      </c>
      <c r="H849" t="s">
        <v>1040</v>
      </c>
      <c r="I849" t="s">
        <v>107</v>
      </c>
      <c r="J849" s="2">
        <v>497.75</v>
      </c>
      <c r="K849">
        <v>11</v>
      </c>
      <c r="L849" t="s">
        <v>78</v>
      </c>
      <c r="M849">
        <v>4</v>
      </c>
      <c r="N849">
        <v>1</v>
      </c>
      <c r="O849">
        <v>2</v>
      </c>
      <c r="P849" t="s">
        <v>66</v>
      </c>
      <c r="Q849" t="s">
        <v>109</v>
      </c>
      <c r="R849">
        <v>2</v>
      </c>
      <c r="S849">
        <v>1</v>
      </c>
      <c r="T849" t="s">
        <v>79</v>
      </c>
      <c r="U849" t="s">
        <v>90</v>
      </c>
      <c r="V849" t="s">
        <v>110</v>
      </c>
      <c r="W849" s="3">
        <v>45476</v>
      </c>
      <c r="X849" t="b">
        <v>1</v>
      </c>
      <c r="Y849" t="b">
        <v>0</v>
      </c>
      <c r="Z849" t="s">
        <v>82</v>
      </c>
      <c r="AA849" t="s">
        <v>97</v>
      </c>
      <c r="AB849">
        <v>13</v>
      </c>
      <c r="AO849" t="str">
        <f t="shared" si="42"/>
        <v>18-25</v>
      </c>
      <c r="BD849">
        <v>11</v>
      </c>
      <c r="BF849" cm="1">
        <f t="array" ref="BF849">CORREL(J849:J1849,S849:S1849)</f>
        <v>-0.0225406264190106</v>
      </c>
      <c r="BH849">
        <v>1</v>
      </c>
      <c r="BI849">
        <f t="shared" si="43"/>
        <v>11</v>
      </c>
      <c r="BJ849">
        <f t="shared" si="44"/>
        <v>0.0909090909090909</v>
      </c>
    </row>
    <row r="850" spans="1:62">
      <c r="A850" s="1">
        <v>921424328</v>
      </c>
      <c r="B850">
        <v>45</v>
      </c>
      <c r="C850" t="s">
        <v>59</v>
      </c>
      <c r="D850" t="s">
        <v>60</v>
      </c>
      <c r="E850" t="s">
        <v>61</v>
      </c>
      <c r="F850" t="s">
        <v>87</v>
      </c>
      <c r="G850" t="s">
        <v>60</v>
      </c>
      <c r="H850" t="s">
        <v>995</v>
      </c>
      <c r="I850" t="s">
        <v>122</v>
      </c>
      <c r="J850" s="2">
        <v>492.83</v>
      </c>
      <c r="K850">
        <v>5</v>
      </c>
      <c r="L850" t="s">
        <v>85</v>
      </c>
      <c r="M850">
        <v>2</v>
      </c>
      <c r="N850">
        <v>1</v>
      </c>
      <c r="O850">
        <v>0</v>
      </c>
      <c r="P850" t="s">
        <v>74</v>
      </c>
      <c r="Q850" t="s">
        <v>109</v>
      </c>
      <c r="R850">
        <v>0</v>
      </c>
      <c r="S850">
        <v>4</v>
      </c>
      <c r="T850" t="s">
        <v>74</v>
      </c>
      <c r="U850" t="s">
        <v>68</v>
      </c>
      <c r="V850" t="s">
        <v>91</v>
      </c>
      <c r="W850" s="3">
        <v>45353</v>
      </c>
      <c r="X850" t="b">
        <v>1</v>
      </c>
      <c r="Y850" t="b">
        <v>0</v>
      </c>
      <c r="Z850" t="s">
        <v>70</v>
      </c>
      <c r="AA850" t="s">
        <v>71</v>
      </c>
      <c r="AB850">
        <v>2</v>
      </c>
      <c r="AO850" t="str">
        <f t="shared" si="42"/>
        <v>41-60</v>
      </c>
      <c r="BD850">
        <v>5</v>
      </c>
      <c r="BF850" cm="1">
        <f t="array" ref="BF850">CORREL(J850:J1850,S850:S1850)</f>
        <v>-0.00508310325058456</v>
      </c>
      <c r="BH850">
        <v>4</v>
      </c>
      <c r="BI850">
        <f t="shared" si="43"/>
        <v>1.25</v>
      </c>
      <c r="BJ850">
        <f t="shared" si="44"/>
        <v>3.2</v>
      </c>
    </row>
    <row r="851" spans="1:62">
      <c r="A851" s="4" t="s">
        <v>1041</v>
      </c>
      <c r="B851">
        <v>39</v>
      </c>
      <c r="C851" t="s">
        <v>59</v>
      </c>
      <c r="D851" t="s">
        <v>60</v>
      </c>
      <c r="E851" t="s">
        <v>103</v>
      </c>
      <c r="F851" t="s">
        <v>75</v>
      </c>
      <c r="G851" t="s">
        <v>60</v>
      </c>
      <c r="H851" t="s">
        <v>1042</v>
      </c>
      <c r="I851" t="s">
        <v>156</v>
      </c>
      <c r="J851" s="2">
        <v>295.54</v>
      </c>
      <c r="K851">
        <v>8</v>
      </c>
      <c r="L851" t="s">
        <v>85</v>
      </c>
      <c r="M851">
        <v>3</v>
      </c>
      <c r="N851">
        <v>3</v>
      </c>
      <c r="O851">
        <v>1</v>
      </c>
      <c r="P851" t="s">
        <v>66</v>
      </c>
      <c r="Q851" t="s">
        <v>109</v>
      </c>
      <c r="R851">
        <v>2</v>
      </c>
      <c r="S851">
        <v>4</v>
      </c>
      <c r="T851" t="s">
        <v>84</v>
      </c>
      <c r="U851" t="s">
        <v>68</v>
      </c>
      <c r="V851" t="s">
        <v>110</v>
      </c>
      <c r="W851" s="3">
        <v>45500</v>
      </c>
      <c r="X851" t="b">
        <v>0</v>
      </c>
      <c r="Y851" t="b">
        <v>0</v>
      </c>
      <c r="Z851" t="s">
        <v>102</v>
      </c>
      <c r="AA851" t="s">
        <v>97</v>
      </c>
      <c r="AB851">
        <v>14</v>
      </c>
      <c r="AO851" t="str">
        <f t="shared" si="42"/>
        <v>26-40</v>
      </c>
      <c r="BD851">
        <v>8</v>
      </c>
      <c r="BF851" cm="1">
        <f t="array" ref="BF851">CORREL(J851:J1851,S851:S1851)</f>
        <v>0.000662725548826953</v>
      </c>
      <c r="BH851">
        <v>4</v>
      </c>
      <c r="BI851">
        <f t="shared" si="43"/>
        <v>2</v>
      </c>
      <c r="BJ851">
        <f t="shared" si="44"/>
        <v>2</v>
      </c>
    </row>
    <row r="852" spans="1:62">
      <c r="A852" s="1">
        <v>592614453</v>
      </c>
      <c r="B852">
        <v>40</v>
      </c>
      <c r="C852" t="s">
        <v>73</v>
      </c>
      <c r="D852" t="s">
        <v>74</v>
      </c>
      <c r="E852" t="s">
        <v>98</v>
      </c>
      <c r="F852" t="s">
        <v>75</v>
      </c>
      <c r="G852" t="s">
        <v>74</v>
      </c>
      <c r="H852" t="s">
        <v>1043</v>
      </c>
      <c r="I852" t="s">
        <v>100</v>
      </c>
      <c r="J852" s="2">
        <v>494.81</v>
      </c>
      <c r="K852">
        <v>9</v>
      </c>
      <c r="L852" t="s">
        <v>65</v>
      </c>
      <c r="M852">
        <v>2</v>
      </c>
      <c r="N852">
        <v>4</v>
      </c>
      <c r="O852">
        <v>1</v>
      </c>
      <c r="P852" t="s">
        <v>79</v>
      </c>
      <c r="Q852" t="s">
        <v>109</v>
      </c>
      <c r="R852">
        <v>1</v>
      </c>
      <c r="S852">
        <v>7</v>
      </c>
      <c r="T852" t="s">
        <v>79</v>
      </c>
      <c r="U852" t="s">
        <v>68</v>
      </c>
      <c r="V852" t="s">
        <v>81</v>
      </c>
      <c r="W852" s="3">
        <v>45438</v>
      </c>
      <c r="X852" t="b">
        <v>1</v>
      </c>
      <c r="Y852" t="b">
        <v>1</v>
      </c>
      <c r="Z852" t="s">
        <v>70</v>
      </c>
      <c r="AA852" t="s">
        <v>83</v>
      </c>
      <c r="AB852">
        <v>6</v>
      </c>
      <c r="AO852" t="str">
        <f t="shared" si="42"/>
        <v>26-40</v>
      </c>
      <c r="BD852">
        <v>9</v>
      </c>
      <c r="BF852" cm="1">
        <f t="array" ref="BF852">CORREL(J852:J1852,S852:S1852)</f>
        <v>0.00115540961771271</v>
      </c>
      <c r="BH852">
        <v>7</v>
      </c>
      <c r="BI852">
        <f t="shared" si="43"/>
        <v>1.28571428571429</v>
      </c>
      <c r="BJ852">
        <f t="shared" si="44"/>
        <v>5.44444444444444</v>
      </c>
    </row>
    <row r="853" spans="1:62">
      <c r="A853" s="1">
        <v>356443184</v>
      </c>
      <c r="B853">
        <v>21</v>
      </c>
      <c r="C853" t="s">
        <v>59</v>
      </c>
      <c r="D853" t="s">
        <v>74</v>
      </c>
      <c r="E853" t="s">
        <v>86</v>
      </c>
      <c r="F853" t="s">
        <v>87</v>
      </c>
      <c r="G853" t="s">
        <v>60</v>
      </c>
      <c r="H853" t="s">
        <v>1044</v>
      </c>
      <c r="I853" t="s">
        <v>115</v>
      </c>
      <c r="J853" s="2">
        <v>160.25</v>
      </c>
      <c r="K853">
        <v>7</v>
      </c>
      <c r="L853" t="s">
        <v>85</v>
      </c>
      <c r="M853">
        <v>2</v>
      </c>
      <c r="N853">
        <v>3</v>
      </c>
      <c r="O853">
        <v>2</v>
      </c>
      <c r="P853" t="s">
        <v>66</v>
      </c>
      <c r="Q853" t="s">
        <v>109</v>
      </c>
      <c r="R853">
        <v>2</v>
      </c>
      <c r="S853">
        <v>5</v>
      </c>
      <c r="T853" t="s">
        <v>74</v>
      </c>
      <c r="U853" t="s">
        <v>105</v>
      </c>
      <c r="V853" t="s">
        <v>81</v>
      </c>
      <c r="W853" s="3">
        <v>45355</v>
      </c>
      <c r="X853" t="b">
        <v>1</v>
      </c>
      <c r="Y853" t="b">
        <v>1</v>
      </c>
      <c r="Z853" t="s">
        <v>70</v>
      </c>
      <c r="AA853" t="s">
        <v>71</v>
      </c>
      <c r="AB853">
        <v>12</v>
      </c>
      <c r="AO853" t="str">
        <f t="shared" si="42"/>
        <v>18-25</v>
      </c>
      <c r="BD853">
        <v>7</v>
      </c>
      <c r="BF853" cm="1">
        <f t="array" ref="BF853">CORREL(J853:J1853,S853:S1853)</f>
        <v>-0.00520229842019309</v>
      </c>
      <c r="BH853">
        <v>5</v>
      </c>
      <c r="BI853">
        <f t="shared" si="43"/>
        <v>1.4</v>
      </c>
      <c r="BJ853">
        <f t="shared" si="44"/>
        <v>3.57142857142857</v>
      </c>
    </row>
    <row r="854" spans="1:62">
      <c r="A854" s="1">
        <v>305289105</v>
      </c>
      <c r="B854">
        <v>42</v>
      </c>
      <c r="C854" t="s">
        <v>59</v>
      </c>
      <c r="D854" t="s">
        <v>60</v>
      </c>
      <c r="E854" t="s">
        <v>61</v>
      </c>
      <c r="F854" t="s">
        <v>87</v>
      </c>
      <c r="G854" t="s">
        <v>74</v>
      </c>
      <c r="H854" t="s">
        <v>1045</v>
      </c>
      <c r="I854" t="s">
        <v>64</v>
      </c>
      <c r="J854" s="2">
        <v>198.36</v>
      </c>
      <c r="K854">
        <v>4</v>
      </c>
      <c r="L854" t="s">
        <v>85</v>
      </c>
      <c r="M854">
        <v>1</v>
      </c>
      <c r="N854">
        <v>1</v>
      </c>
      <c r="O854">
        <v>2</v>
      </c>
      <c r="P854" t="s">
        <v>66</v>
      </c>
      <c r="Q854" t="s">
        <v>67</v>
      </c>
      <c r="R854">
        <v>1</v>
      </c>
      <c r="S854">
        <v>9</v>
      </c>
      <c r="T854" t="s">
        <v>66</v>
      </c>
      <c r="U854" t="s">
        <v>105</v>
      </c>
      <c r="V854" t="s">
        <v>110</v>
      </c>
      <c r="W854" s="3">
        <v>45639</v>
      </c>
      <c r="X854" t="b">
        <v>0</v>
      </c>
      <c r="Y854" t="b">
        <v>1</v>
      </c>
      <c r="Z854" t="s">
        <v>82</v>
      </c>
      <c r="AA854" t="s">
        <v>83</v>
      </c>
      <c r="AB854">
        <v>4</v>
      </c>
      <c r="AO854" t="str">
        <f t="shared" si="42"/>
        <v>41-60</v>
      </c>
      <c r="BD854">
        <v>4</v>
      </c>
      <c r="BF854" cm="1">
        <f t="array" ref="BF854">CORREL(J854:J1854,S854:S1854)</f>
        <v>-0.00620924084703147</v>
      </c>
      <c r="BH854">
        <v>9</v>
      </c>
      <c r="BI854">
        <f t="shared" si="43"/>
        <v>0.444444444444444</v>
      </c>
      <c r="BJ854">
        <f t="shared" si="44"/>
        <v>20.25</v>
      </c>
    </row>
    <row r="855" spans="1:62">
      <c r="A855" s="1">
        <v>147098547</v>
      </c>
      <c r="B855">
        <v>44</v>
      </c>
      <c r="C855" t="s">
        <v>59</v>
      </c>
      <c r="D855" t="s">
        <v>60</v>
      </c>
      <c r="E855" t="s">
        <v>103</v>
      </c>
      <c r="F855" t="s">
        <v>62</v>
      </c>
      <c r="G855" t="s">
        <v>74</v>
      </c>
      <c r="H855" t="s">
        <v>1046</v>
      </c>
      <c r="I855" t="s">
        <v>100</v>
      </c>
      <c r="J855" s="2">
        <v>82.39</v>
      </c>
      <c r="K855">
        <v>12</v>
      </c>
      <c r="L855" t="s">
        <v>78</v>
      </c>
      <c r="M855">
        <v>5</v>
      </c>
      <c r="N855">
        <v>1</v>
      </c>
      <c r="O855">
        <v>1</v>
      </c>
      <c r="P855" t="s">
        <v>66</v>
      </c>
      <c r="Q855" t="s">
        <v>67</v>
      </c>
      <c r="R855">
        <v>0</v>
      </c>
      <c r="S855">
        <v>8</v>
      </c>
      <c r="T855" t="s">
        <v>66</v>
      </c>
      <c r="U855" t="s">
        <v>90</v>
      </c>
      <c r="V855" t="s">
        <v>96</v>
      </c>
      <c r="W855" s="3">
        <v>45346</v>
      </c>
      <c r="X855" t="b">
        <v>0</v>
      </c>
      <c r="Y855" t="b">
        <v>0</v>
      </c>
      <c r="Z855" t="s">
        <v>102</v>
      </c>
      <c r="AA855" t="s">
        <v>97</v>
      </c>
      <c r="AB855">
        <v>1</v>
      </c>
      <c r="AO855" t="str">
        <f t="shared" si="42"/>
        <v>41-60</v>
      </c>
      <c r="BD855">
        <v>12</v>
      </c>
      <c r="BF855" cm="1">
        <f t="array" ref="BF855">CORREL(J855:J1855,S855:S1855)</f>
        <v>-0.000911832193833158</v>
      </c>
      <c r="BH855">
        <v>8</v>
      </c>
      <c r="BI855">
        <f t="shared" si="43"/>
        <v>1.5</v>
      </c>
      <c r="BJ855">
        <f t="shared" si="44"/>
        <v>5.33333333333333</v>
      </c>
    </row>
    <row r="856" spans="1:62">
      <c r="A856" s="1">
        <v>805089866</v>
      </c>
      <c r="B856">
        <v>46</v>
      </c>
      <c r="C856" t="s">
        <v>59</v>
      </c>
      <c r="D856" t="s">
        <v>60</v>
      </c>
      <c r="E856" t="s">
        <v>61</v>
      </c>
      <c r="F856" t="s">
        <v>87</v>
      </c>
      <c r="G856" t="s">
        <v>74</v>
      </c>
      <c r="H856" t="s">
        <v>1047</v>
      </c>
      <c r="I856" t="s">
        <v>124</v>
      </c>
      <c r="J856" s="2">
        <v>290.56</v>
      </c>
      <c r="K856">
        <v>3</v>
      </c>
      <c r="L856" t="s">
        <v>78</v>
      </c>
      <c r="M856">
        <v>5</v>
      </c>
      <c r="N856">
        <v>1</v>
      </c>
      <c r="O856">
        <v>2</v>
      </c>
      <c r="P856" t="s">
        <v>66</v>
      </c>
      <c r="Q856" t="s">
        <v>67</v>
      </c>
      <c r="R856">
        <v>1</v>
      </c>
      <c r="S856">
        <v>1</v>
      </c>
      <c r="T856" t="s">
        <v>66</v>
      </c>
      <c r="U856" t="s">
        <v>105</v>
      </c>
      <c r="V856" t="s">
        <v>81</v>
      </c>
      <c r="W856" s="3">
        <v>45363</v>
      </c>
      <c r="X856" t="b">
        <v>1</v>
      </c>
      <c r="Y856" t="b">
        <v>0</v>
      </c>
      <c r="Z856" t="s">
        <v>82</v>
      </c>
      <c r="AA856" t="s">
        <v>71</v>
      </c>
      <c r="AB856">
        <v>4</v>
      </c>
      <c r="AO856" t="str">
        <f t="shared" si="42"/>
        <v>41-60</v>
      </c>
      <c r="BD856">
        <v>3</v>
      </c>
      <c r="BF856" cm="1">
        <f t="array" ref="BF856">CORREL(J856:J1856,S856:S1856)</f>
        <v>0.00881017574706216</v>
      </c>
      <c r="BH856">
        <v>1</v>
      </c>
      <c r="BI856">
        <f t="shared" si="43"/>
        <v>3</v>
      </c>
      <c r="BJ856">
        <f t="shared" si="44"/>
        <v>0.333333333333333</v>
      </c>
    </row>
    <row r="857" spans="1:62">
      <c r="A857" s="1">
        <v>271000661</v>
      </c>
      <c r="B857">
        <v>29</v>
      </c>
      <c r="C857" t="s">
        <v>73</v>
      </c>
      <c r="D857" t="s">
        <v>74</v>
      </c>
      <c r="E857" t="s">
        <v>103</v>
      </c>
      <c r="F857" t="s">
        <v>87</v>
      </c>
      <c r="G857" t="s">
        <v>74</v>
      </c>
      <c r="H857" t="s">
        <v>1048</v>
      </c>
      <c r="I857" t="s">
        <v>120</v>
      </c>
      <c r="J857" s="2">
        <v>206.79</v>
      </c>
      <c r="K857">
        <v>5</v>
      </c>
      <c r="L857" t="s">
        <v>78</v>
      </c>
      <c r="M857">
        <v>1</v>
      </c>
      <c r="N857">
        <v>3</v>
      </c>
      <c r="O857">
        <v>2</v>
      </c>
      <c r="P857" t="s">
        <v>74</v>
      </c>
      <c r="Q857" t="s">
        <v>109</v>
      </c>
      <c r="R857">
        <v>1</v>
      </c>
      <c r="S857">
        <v>2</v>
      </c>
      <c r="T857" t="s">
        <v>84</v>
      </c>
      <c r="U857" t="s">
        <v>68</v>
      </c>
      <c r="V857" t="s">
        <v>69</v>
      </c>
      <c r="W857" s="3">
        <v>45525</v>
      </c>
      <c r="X857" t="b">
        <v>0</v>
      </c>
      <c r="Y857" t="b">
        <v>0</v>
      </c>
      <c r="Z857" t="s">
        <v>102</v>
      </c>
      <c r="AA857" t="s">
        <v>83</v>
      </c>
      <c r="AB857">
        <v>4</v>
      </c>
      <c r="AO857" t="str">
        <f t="shared" si="42"/>
        <v>26-40</v>
      </c>
      <c r="BD857">
        <v>5</v>
      </c>
      <c r="BF857" cm="1">
        <f t="array" ref="BF857">CORREL(J857:J1857,S857:S1857)</f>
        <v>0.00992545818116822</v>
      </c>
      <c r="BH857">
        <v>2</v>
      </c>
      <c r="BI857">
        <f t="shared" si="43"/>
        <v>2.5</v>
      </c>
      <c r="BJ857">
        <f t="shared" si="44"/>
        <v>0.8</v>
      </c>
    </row>
    <row r="858" spans="1:62">
      <c r="A858" s="1">
        <v>684887343</v>
      </c>
      <c r="B858">
        <v>19</v>
      </c>
      <c r="C858" t="s">
        <v>59</v>
      </c>
      <c r="D858" t="s">
        <v>60</v>
      </c>
      <c r="E858" t="s">
        <v>61</v>
      </c>
      <c r="F858" t="s">
        <v>75</v>
      </c>
      <c r="G858" t="s">
        <v>74</v>
      </c>
      <c r="H858" t="s">
        <v>1049</v>
      </c>
      <c r="I858" t="s">
        <v>135</v>
      </c>
      <c r="J858" s="2">
        <v>401.43</v>
      </c>
      <c r="K858">
        <v>8</v>
      </c>
      <c r="L858" t="s">
        <v>65</v>
      </c>
      <c r="M858">
        <v>4</v>
      </c>
      <c r="N858">
        <v>2</v>
      </c>
      <c r="O858">
        <v>0</v>
      </c>
      <c r="P858" t="s">
        <v>66</v>
      </c>
      <c r="Q858" t="s">
        <v>80</v>
      </c>
      <c r="R858">
        <v>0</v>
      </c>
      <c r="S858">
        <v>6</v>
      </c>
      <c r="T858" t="s">
        <v>74</v>
      </c>
      <c r="U858" t="s">
        <v>68</v>
      </c>
      <c r="V858" t="s">
        <v>96</v>
      </c>
      <c r="W858" s="3">
        <v>45435</v>
      </c>
      <c r="X858" t="b">
        <v>1</v>
      </c>
      <c r="Y858" t="b">
        <v>1</v>
      </c>
      <c r="Z858" t="s">
        <v>70</v>
      </c>
      <c r="AA858" t="s">
        <v>71</v>
      </c>
      <c r="AB858">
        <v>5</v>
      </c>
      <c r="AO858" t="str">
        <f t="shared" si="42"/>
        <v>18-25</v>
      </c>
      <c r="BD858">
        <v>8</v>
      </c>
      <c r="BF858" cm="1">
        <f t="array" ref="BF858">CORREL(J858:J1858,S858:S1858)</f>
        <v>0.00512166871975246</v>
      </c>
      <c r="BH858">
        <v>6</v>
      </c>
      <c r="BI858">
        <f t="shared" si="43"/>
        <v>1.33333333333333</v>
      </c>
      <c r="BJ858">
        <f t="shared" si="44"/>
        <v>4.5</v>
      </c>
    </row>
    <row r="859" spans="1:62">
      <c r="A859" s="1">
        <v>633041852</v>
      </c>
      <c r="B859">
        <v>21</v>
      </c>
      <c r="C859" t="s">
        <v>73</v>
      </c>
      <c r="D859" t="s">
        <v>74</v>
      </c>
      <c r="E859" t="s">
        <v>98</v>
      </c>
      <c r="F859" t="s">
        <v>87</v>
      </c>
      <c r="G859" t="s">
        <v>74</v>
      </c>
      <c r="H859" t="s">
        <v>1050</v>
      </c>
      <c r="I859" t="s">
        <v>113</v>
      </c>
      <c r="J859" s="2">
        <v>188.17</v>
      </c>
      <c r="K859">
        <v>9</v>
      </c>
      <c r="L859" t="s">
        <v>85</v>
      </c>
      <c r="M859">
        <v>5</v>
      </c>
      <c r="N859">
        <v>5</v>
      </c>
      <c r="O859">
        <v>0</v>
      </c>
      <c r="P859" t="s">
        <v>79</v>
      </c>
      <c r="Q859" t="s">
        <v>80</v>
      </c>
      <c r="R859">
        <v>1</v>
      </c>
      <c r="S859">
        <v>5</v>
      </c>
      <c r="T859" t="s">
        <v>84</v>
      </c>
      <c r="U859" t="s">
        <v>105</v>
      </c>
      <c r="V859" t="s">
        <v>91</v>
      </c>
      <c r="W859" s="3">
        <v>45438</v>
      </c>
      <c r="X859" t="b">
        <v>1</v>
      </c>
      <c r="Y859" t="b">
        <v>0</v>
      </c>
      <c r="Z859" t="s">
        <v>70</v>
      </c>
      <c r="AA859" t="s">
        <v>83</v>
      </c>
      <c r="AB859">
        <v>9</v>
      </c>
      <c r="AO859" t="str">
        <f t="shared" si="42"/>
        <v>18-25</v>
      </c>
      <c r="BD859">
        <v>9</v>
      </c>
      <c r="BF859" cm="1">
        <f t="array" ref="BF859">CORREL(J859:J1859,S859:S1859)</f>
        <v>0.00384223345060183</v>
      </c>
      <c r="BH859">
        <v>5</v>
      </c>
      <c r="BI859">
        <f t="shared" si="43"/>
        <v>1.8</v>
      </c>
      <c r="BJ859">
        <f t="shared" si="44"/>
        <v>2.77777777777778</v>
      </c>
    </row>
    <row r="860" spans="1:62">
      <c r="A860" s="1">
        <v>538435619</v>
      </c>
      <c r="B860">
        <v>38</v>
      </c>
      <c r="C860" t="s">
        <v>59</v>
      </c>
      <c r="D860" t="s">
        <v>74</v>
      </c>
      <c r="E860" t="s">
        <v>86</v>
      </c>
      <c r="F860" t="s">
        <v>75</v>
      </c>
      <c r="G860" t="s">
        <v>74</v>
      </c>
      <c r="H860" t="s">
        <v>1051</v>
      </c>
      <c r="I860" t="s">
        <v>64</v>
      </c>
      <c r="J860" s="2">
        <v>83.21</v>
      </c>
      <c r="K860">
        <v>10</v>
      </c>
      <c r="L860" t="s">
        <v>85</v>
      </c>
      <c r="M860">
        <v>4</v>
      </c>
      <c r="N860">
        <v>3</v>
      </c>
      <c r="O860">
        <v>2</v>
      </c>
      <c r="P860" t="s">
        <v>84</v>
      </c>
      <c r="Q860" t="s">
        <v>67</v>
      </c>
      <c r="R860">
        <v>0</v>
      </c>
      <c r="S860">
        <v>4</v>
      </c>
      <c r="T860" t="s">
        <v>74</v>
      </c>
      <c r="U860" t="s">
        <v>105</v>
      </c>
      <c r="V860" t="s">
        <v>96</v>
      </c>
      <c r="W860" s="3">
        <v>45371</v>
      </c>
      <c r="X860" t="b">
        <v>0</v>
      </c>
      <c r="Y860" t="b">
        <v>0</v>
      </c>
      <c r="Z860" t="s">
        <v>92</v>
      </c>
      <c r="AA860" t="s">
        <v>83</v>
      </c>
      <c r="AB860">
        <v>7</v>
      </c>
      <c r="AO860" t="str">
        <f t="shared" ref="AO860:AO923" si="45">IF(B860&lt;=25,"18-25",IF(B860&lt;=40,"26-40",IF(B860&lt;=60,"41-60","Above60")))</f>
        <v>26-40</v>
      </c>
      <c r="BD860">
        <v>10</v>
      </c>
      <c r="BF860" cm="1">
        <f t="array" ref="BF860">CORREL(J860:J1860,S860:S1860)</f>
        <v>0.00302541124190737</v>
      </c>
      <c r="BH860">
        <v>4</v>
      </c>
      <c r="BI860">
        <f t="shared" si="43"/>
        <v>2.5</v>
      </c>
      <c r="BJ860">
        <f t="shared" si="44"/>
        <v>1.6</v>
      </c>
    </row>
    <row r="861" spans="1:62">
      <c r="A861" s="1">
        <v>447867696</v>
      </c>
      <c r="B861">
        <v>41</v>
      </c>
      <c r="C861" t="s">
        <v>111</v>
      </c>
      <c r="D861" t="s">
        <v>60</v>
      </c>
      <c r="E861" t="s">
        <v>103</v>
      </c>
      <c r="F861" t="s">
        <v>87</v>
      </c>
      <c r="G861" t="s">
        <v>60</v>
      </c>
      <c r="H861" t="s">
        <v>1052</v>
      </c>
      <c r="I861" t="s">
        <v>64</v>
      </c>
      <c r="J861" s="2">
        <v>54.74</v>
      </c>
      <c r="K861">
        <v>4</v>
      </c>
      <c r="L861" t="s">
        <v>78</v>
      </c>
      <c r="M861">
        <v>1</v>
      </c>
      <c r="N861">
        <v>2</v>
      </c>
      <c r="O861">
        <v>0</v>
      </c>
      <c r="P861" t="s">
        <v>66</v>
      </c>
      <c r="Q861" t="s">
        <v>67</v>
      </c>
      <c r="R861">
        <v>0</v>
      </c>
      <c r="S861">
        <v>4</v>
      </c>
      <c r="T861" t="s">
        <v>84</v>
      </c>
      <c r="U861" t="s">
        <v>90</v>
      </c>
      <c r="V861" t="s">
        <v>81</v>
      </c>
      <c r="W861" s="3">
        <v>45568</v>
      </c>
      <c r="X861" t="b">
        <v>1</v>
      </c>
      <c r="Y861" t="b">
        <v>1</v>
      </c>
      <c r="Z861" t="s">
        <v>92</v>
      </c>
      <c r="AA861" t="s">
        <v>71</v>
      </c>
      <c r="AB861">
        <v>14</v>
      </c>
      <c r="AO861" t="str">
        <f t="shared" si="45"/>
        <v>41-60</v>
      </c>
      <c r="BD861">
        <v>4</v>
      </c>
      <c r="BF861" cm="1">
        <f t="array" ref="BF861">CORREL(J861:J1861,S861:S1861)</f>
        <v>-0.00268031727979991</v>
      </c>
      <c r="BH861">
        <v>4</v>
      </c>
      <c r="BI861">
        <f t="shared" si="43"/>
        <v>1</v>
      </c>
      <c r="BJ861">
        <f t="shared" si="44"/>
        <v>4</v>
      </c>
    </row>
    <row r="862" spans="1:62">
      <c r="A862" s="1">
        <v>456314619</v>
      </c>
      <c r="B862">
        <v>49</v>
      </c>
      <c r="C862" t="s">
        <v>59</v>
      </c>
      <c r="D862" t="s">
        <v>74</v>
      </c>
      <c r="E862" t="s">
        <v>103</v>
      </c>
      <c r="F862" t="s">
        <v>87</v>
      </c>
      <c r="G862" t="s">
        <v>74</v>
      </c>
      <c r="H862" t="s">
        <v>1053</v>
      </c>
      <c r="I862" t="s">
        <v>89</v>
      </c>
      <c r="J862" s="2">
        <v>371.12</v>
      </c>
      <c r="K862">
        <v>8</v>
      </c>
      <c r="L862" t="s">
        <v>85</v>
      </c>
      <c r="M862">
        <v>5</v>
      </c>
      <c r="N862">
        <v>1</v>
      </c>
      <c r="O862">
        <v>2</v>
      </c>
      <c r="P862" t="s">
        <v>74</v>
      </c>
      <c r="Q862" t="s">
        <v>67</v>
      </c>
      <c r="R862">
        <v>1</v>
      </c>
      <c r="S862">
        <v>7</v>
      </c>
      <c r="T862" t="s">
        <v>84</v>
      </c>
      <c r="U862" t="s">
        <v>90</v>
      </c>
      <c r="V862" t="s">
        <v>81</v>
      </c>
      <c r="W862" s="3">
        <v>45527</v>
      </c>
      <c r="X862" t="b">
        <v>0</v>
      </c>
      <c r="Y862" t="b">
        <v>1</v>
      </c>
      <c r="Z862" t="s">
        <v>82</v>
      </c>
      <c r="AA862" t="s">
        <v>71</v>
      </c>
      <c r="AB862">
        <v>8</v>
      </c>
      <c r="AO862" t="str">
        <f t="shared" si="45"/>
        <v>41-60</v>
      </c>
      <c r="BD862">
        <v>8</v>
      </c>
      <c r="BF862" cm="1">
        <f t="array" ref="BF862">CORREL(J862:J1862,S862:S1862)</f>
        <v>-0.00944675415482829</v>
      </c>
      <c r="BH862">
        <v>7</v>
      </c>
      <c r="BI862">
        <f t="shared" si="43"/>
        <v>1.14285714285714</v>
      </c>
      <c r="BJ862">
        <f t="shared" si="44"/>
        <v>6.125</v>
      </c>
    </row>
    <row r="863" spans="1:62">
      <c r="A863" s="1">
        <v>118501953</v>
      </c>
      <c r="B863">
        <v>32</v>
      </c>
      <c r="C863" t="s">
        <v>150</v>
      </c>
      <c r="D863" t="s">
        <v>60</v>
      </c>
      <c r="E863" t="s">
        <v>86</v>
      </c>
      <c r="F863" t="s">
        <v>75</v>
      </c>
      <c r="G863" t="s">
        <v>60</v>
      </c>
      <c r="H863" t="s">
        <v>1054</v>
      </c>
      <c r="I863" t="s">
        <v>129</v>
      </c>
      <c r="J863" s="2">
        <v>293.64</v>
      </c>
      <c r="K863">
        <v>3</v>
      </c>
      <c r="L863" t="s">
        <v>78</v>
      </c>
      <c r="M863">
        <v>2</v>
      </c>
      <c r="N863">
        <v>1</v>
      </c>
      <c r="O863">
        <v>2</v>
      </c>
      <c r="P863" t="s">
        <v>84</v>
      </c>
      <c r="Q863" t="s">
        <v>80</v>
      </c>
      <c r="R863">
        <v>2</v>
      </c>
      <c r="S863">
        <v>8</v>
      </c>
      <c r="T863" t="s">
        <v>66</v>
      </c>
      <c r="U863" t="s">
        <v>68</v>
      </c>
      <c r="V863" t="s">
        <v>69</v>
      </c>
      <c r="W863" s="3">
        <v>45552</v>
      </c>
      <c r="X863" t="b">
        <v>1</v>
      </c>
      <c r="Y863" t="b">
        <v>0</v>
      </c>
      <c r="Z863" t="s">
        <v>92</v>
      </c>
      <c r="AA863" t="s">
        <v>97</v>
      </c>
      <c r="AB863">
        <v>5</v>
      </c>
      <c r="AO863" t="str">
        <f t="shared" si="45"/>
        <v>26-40</v>
      </c>
      <c r="BD863">
        <v>3</v>
      </c>
      <c r="BF863" cm="1">
        <f t="array" ref="BF863">CORREL(J863:J1863,S863:S1863)</f>
        <v>-0.0122208558800165</v>
      </c>
      <c r="BH863">
        <v>8</v>
      </c>
      <c r="BI863">
        <f t="shared" si="43"/>
        <v>0.375</v>
      </c>
      <c r="BJ863">
        <f t="shared" si="44"/>
        <v>21.3333333333333</v>
      </c>
    </row>
    <row r="864" spans="1:62">
      <c r="A864" s="1">
        <v>204212544</v>
      </c>
      <c r="B864">
        <v>24</v>
      </c>
      <c r="C864" t="s">
        <v>73</v>
      </c>
      <c r="D864" t="s">
        <v>74</v>
      </c>
      <c r="E864" t="s">
        <v>61</v>
      </c>
      <c r="F864" t="s">
        <v>75</v>
      </c>
      <c r="G864" t="s">
        <v>74</v>
      </c>
      <c r="H864" t="s">
        <v>1055</v>
      </c>
      <c r="I864" t="s">
        <v>107</v>
      </c>
      <c r="J864" s="2">
        <v>185.83</v>
      </c>
      <c r="K864">
        <v>11</v>
      </c>
      <c r="L864" t="s">
        <v>78</v>
      </c>
      <c r="M864">
        <v>4</v>
      </c>
      <c r="N864">
        <v>2</v>
      </c>
      <c r="O864">
        <v>2</v>
      </c>
      <c r="P864" t="s">
        <v>84</v>
      </c>
      <c r="Q864" t="s">
        <v>80</v>
      </c>
      <c r="R864">
        <v>2</v>
      </c>
      <c r="S864">
        <v>9</v>
      </c>
      <c r="T864" t="s">
        <v>79</v>
      </c>
      <c r="U864" t="s">
        <v>105</v>
      </c>
      <c r="V864" t="s">
        <v>96</v>
      </c>
      <c r="W864" s="3">
        <v>45582</v>
      </c>
      <c r="X864" t="b">
        <v>0</v>
      </c>
      <c r="Y864" t="b">
        <v>1</v>
      </c>
      <c r="Z864" t="s">
        <v>92</v>
      </c>
      <c r="AA864" t="s">
        <v>83</v>
      </c>
      <c r="AB864">
        <v>1</v>
      </c>
      <c r="AO864" t="str">
        <f t="shared" si="45"/>
        <v>18-25</v>
      </c>
      <c r="BD864">
        <v>11</v>
      </c>
      <c r="BF864" cm="1">
        <f t="array" ref="BF864">CORREL(J864:J1864,S864:S1864)</f>
        <v>-0.0129019066826473</v>
      </c>
      <c r="BH864">
        <v>9</v>
      </c>
      <c r="BI864">
        <f t="shared" si="43"/>
        <v>1.22222222222222</v>
      </c>
      <c r="BJ864">
        <f t="shared" si="44"/>
        <v>7.36363636363636</v>
      </c>
    </row>
    <row r="865" spans="1:62">
      <c r="A865" s="1">
        <v>371008709</v>
      </c>
      <c r="B865">
        <v>27</v>
      </c>
      <c r="C865" t="s">
        <v>73</v>
      </c>
      <c r="D865" t="s">
        <v>74</v>
      </c>
      <c r="E865" t="s">
        <v>103</v>
      </c>
      <c r="F865" t="s">
        <v>87</v>
      </c>
      <c r="G865" t="s">
        <v>60</v>
      </c>
      <c r="H865" t="s">
        <v>1056</v>
      </c>
      <c r="I865" t="s">
        <v>89</v>
      </c>
      <c r="J865" s="2">
        <v>117.13</v>
      </c>
      <c r="K865">
        <v>7</v>
      </c>
      <c r="L865" t="s">
        <v>65</v>
      </c>
      <c r="M865">
        <v>1</v>
      </c>
      <c r="N865">
        <v>1</v>
      </c>
      <c r="O865">
        <v>2</v>
      </c>
      <c r="P865" t="s">
        <v>74</v>
      </c>
      <c r="Q865" t="s">
        <v>67</v>
      </c>
      <c r="R865">
        <v>1</v>
      </c>
      <c r="S865">
        <v>10</v>
      </c>
      <c r="T865" t="s">
        <v>74</v>
      </c>
      <c r="U865" t="s">
        <v>90</v>
      </c>
      <c r="V865" t="s">
        <v>69</v>
      </c>
      <c r="W865" s="3">
        <v>45512</v>
      </c>
      <c r="X865" t="b">
        <v>1</v>
      </c>
      <c r="Y865" t="b">
        <v>1</v>
      </c>
      <c r="Z865" t="s">
        <v>102</v>
      </c>
      <c r="AA865" t="s">
        <v>97</v>
      </c>
      <c r="AB865">
        <v>6</v>
      </c>
      <c r="AO865" t="str">
        <f t="shared" si="45"/>
        <v>26-40</v>
      </c>
      <c r="BD865">
        <v>7</v>
      </c>
      <c r="BF865" cm="1">
        <f t="array" ref="BF865">CORREL(J865:J1865,S865:S1865)</f>
        <v>-0.00607616278707274</v>
      </c>
      <c r="BH865">
        <v>10</v>
      </c>
      <c r="BI865">
        <f t="shared" si="43"/>
        <v>0.7</v>
      </c>
      <c r="BJ865">
        <f t="shared" si="44"/>
        <v>14.2857142857143</v>
      </c>
    </row>
    <row r="866" spans="1:62">
      <c r="A866" s="1">
        <v>783615100</v>
      </c>
      <c r="B866">
        <v>44</v>
      </c>
      <c r="C866" t="s">
        <v>59</v>
      </c>
      <c r="D866" t="s">
        <v>60</v>
      </c>
      <c r="E866" t="s">
        <v>61</v>
      </c>
      <c r="F866" t="s">
        <v>87</v>
      </c>
      <c r="G866" t="s">
        <v>74</v>
      </c>
      <c r="H866" t="s">
        <v>1057</v>
      </c>
      <c r="I866" t="s">
        <v>89</v>
      </c>
      <c r="J866" s="2">
        <v>52.24</v>
      </c>
      <c r="K866">
        <v>11</v>
      </c>
      <c r="L866" t="s">
        <v>78</v>
      </c>
      <c r="M866">
        <v>3</v>
      </c>
      <c r="N866">
        <v>1</v>
      </c>
      <c r="O866">
        <v>0</v>
      </c>
      <c r="P866" t="s">
        <v>84</v>
      </c>
      <c r="Q866" t="s">
        <v>80</v>
      </c>
      <c r="R866">
        <v>2</v>
      </c>
      <c r="S866">
        <v>4</v>
      </c>
      <c r="T866" t="s">
        <v>74</v>
      </c>
      <c r="U866" t="s">
        <v>90</v>
      </c>
      <c r="V866" t="s">
        <v>69</v>
      </c>
      <c r="W866" s="3">
        <v>45638</v>
      </c>
      <c r="X866" t="b">
        <v>1</v>
      </c>
      <c r="Y866" t="b">
        <v>1</v>
      </c>
      <c r="Z866" t="s">
        <v>92</v>
      </c>
      <c r="AA866" t="s">
        <v>83</v>
      </c>
      <c r="AB866">
        <v>8</v>
      </c>
      <c r="AO866" t="str">
        <f t="shared" si="45"/>
        <v>41-60</v>
      </c>
      <c r="BD866">
        <v>11</v>
      </c>
      <c r="BF866" cm="1">
        <f t="array" ref="BF866">CORREL(J866:J1866,S866:S1866)</f>
        <v>0.00952663822359496</v>
      </c>
      <c r="BH866">
        <v>4</v>
      </c>
      <c r="BI866">
        <f t="shared" si="43"/>
        <v>2.75</v>
      </c>
      <c r="BJ866">
        <f t="shared" si="44"/>
        <v>1.45454545454545</v>
      </c>
    </row>
    <row r="867" spans="1:62">
      <c r="A867" s="1">
        <v>676765945</v>
      </c>
      <c r="B867">
        <v>28</v>
      </c>
      <c r="C867" t="s">
        <v>59</v>
      </c>
      <c r="D867" t="s">
        <v>74</v>
      </c>
      <c r="E867" t="s">
        <v>61</v>
      </c>
      <c r="F867" t="s">
        <v>62</v>
      </c>
      <c r="G867" t="s">
        <v>74</v>
      </c>
      <c r="H867" t="s">
        <v>1058</v>
      </c>
      <c r="I867" t="s">
        <v>135</v>
      </c>
      <c r="J867" s="2">
        <v>446.69</v>
      </c>
      <c r="K867">
        <v>7</v>
      </c>
      <c r="L867" t="s">
        <v>78</v>
      </c>
      <c r="M867">
        <v>4</v>
      </c>
      <c r="N867">
        <v>5</v>
      </c>
      <c r="O867">
        <v>2</v>
      </c>
      <c r="P867" t="s">
        <v>79</v>
      </c>
      <c r="Q867" t="s">
        <v>67</v>
      </c>
      <c r="R867">
        <v>1</v>
      </c>
      <c r="S867">
        <v>5</v>
      </c>
      <c r="T867" t="s">
        <v>74</v>
      </c>
      <c r="U867" t="s">
        <v>90</v>
      </c>
      <c r="V867" t="s">
        <v>110</v>
      </c>
      <c r="W867" s="3">
        <v>45455</v>
      </c>
      <c r="X867" t="b">
        <v>0</v>
      </c>
      <c r="Y867" t="b">
        <v>1</v>
      </c>
      <c r="Z867" t="s">
        <v>102</v>
      </c>
      <c r="AA867" t="s">
        <v>71</v>
      </c>
      <c r="AB867">
        <v>13</v>
      </c>
      <c r="AO867" t="str">
        <f t="shared" si="45"/>
        <v>26-40</v>
      </c>
      <c r="BD867">
        <v>7</v>
      </c>
      <c r="BF867" cm="1">
        <f t="array" ref="BF867">CORREL(J867:J1867,S867:S1867)</f>
        <v>0.0028335927615887</v>
      </c>
      <c r="BH867">
        <v>5</v>
      </c>
      <c r="BI867">
        <f t="shared" si="43"/>
        <v>1.4</v>
      </c>
      <c r="BJ867">
        <f t="shared" si="44"/>
        <v>3.57142857142857</v>
      </c>
    </row>
    <row r="868" spans="1:62">
      <c r="A868" s="1">
        <v>676395838</v>
      </c>
      <c r="B868">
        <v>23</v>
      </c>
      <c r="C868" t="s">
        <v>73</v>
      </c>
      <c r="D868" t="s">
        <v>60</v>
      </c>
      <c r="E868" t="s">
        <v>61</v>
      </c>
      <c r="F868" t="s">
        <v>75</v>
      </c>
      <c r="G868" t="s">
        <v>60</v>
      </c>
      <c r="H868" t="s">
        <v>1059</v>
      </c>
      <c r="I868" t="s">
        <v>129</v>
      </c>
      <c r="J868" s="2">
        <v>216.84</v>
      </c>
      <c r="K868">
        <v>5</v>
      </c>
      <c r="L868" t="s">
        <v>78</v>
      </c>
      <c r="M868">
        <v>4</v>
      </c>
      <c r="N868">
        <v>3</v>
      </c>
      <c r="O868">
        <v>1</v>
      </c>
      <c r="P868" t="s">
        <v>84</v>
      </c>
      <c r="Q868" t="s">
        <v>67</v>
      </c>
      <c r="R868">
        <v>1</v>
      </c>
      <c r="S868">
        <v>1</v>
      </c>
      <c r="T868" t="s">
        <v>84</v>
      </c>
      <c r="U868" t="s">
        <v>68</v>
      </c>
      <c r="V868" t="s">
        <v>81</v>
      </c>
      <c r="W868" s="3">
        <v>45379</v>
      </c>
      <c r="X868" t="b">
        <v>0</v>
      </c>
      <c r="Y868" t="b">
        <v>0</v>
      </c>
      <c r="Z868" t="s">
        <v>102</v>
      </c>
      <c r="AA868" t="s">
        <v>97</v>
      </c>
      <c r="AB868">
        <v>5</v>
      </c>
      <c r="AO868" t="str">
        <f t="shared" si="45"/>
        <v>18-25</v>
      </c>
      <c r="BD868">
        <v>5</v>
      </c>
      <c r="BF868" cm="1">
        <f t="array" ref="BF868">CORREL(J868:J1868,S868:S1868)</f>
        <v>0.00425484921476131</v>
      </c>
      <c r="BH868">
        <v>1</v>
      </c>
      <c r="BI868">
        <f t="shared" si="43"/>
        <v>5</v>
      </c>
      <c r="BJ868">
        <f t="shared" si="44"/>
        <v>0.2</v>
      </c>
    </row>
    <row r="869" spans="1:62">
      <c r="A869" s="1">
        <v>514151931</v>
      </c>
      <c r="B869">
        <v>42</v>
      </c>
      <c r="C869" t="s">
        <v>59</v>
      </c>
      <c r="D869" t="s">
        <v>74</v>
      </c>
      <c r="E869" t="s">
        <v>103</v>
      </c>
      <c r="F869" t="s">
        <v>75</v>
      </c>
      <c r="G869" t="s">
        <v>74</v>
      </c>
      <c r="H869" t="s">
        <v>1060</v>
      </c>
      <c r="I869" t="s">
        <v>131</v>
      </c>
      <c r="J869" s="2">
        <v>75.27</v>
      </c>
      <c r="K869">
        <v>7</v>
      </c>
      <c r="L869" t="s">
        <v>65</v>
      </c>
      <c r="M869">
        <v>3</v>
      </c>
      <c r="N869">
        <v>4</v>
      </c>
      <c r="O869">
        <v>1</v>
      </c>
      <c r="P869" t="s">
        <v>66</v>
      </c>
      <c r="Q869" t="s">
        <v>80</v>
      </c>
      <c r="R869">
        <v>2</v>
      </c>
      <c r="S869">
        <v>3</v>
      </c>
      <c r="T869" t="s">
        <v>66</v>
      </c>
      <c r="U869" t="s">
        <v>105</v>
      </c>
      <c r="V869" t="s">
        <v>81</v>
      </c>
      <c r="W869" s="3">
        <v>45653</v>
      </c>
      <c r="X869" t="b">
        <v>1</v>
      </c>
      <c r="Y869" t="b">
        <v>1</v>
      </c>
      <c r="Z869" t="s">
        <v>92</v>
      </c>
      <c r="AA869" t="s">
        <v>97</v>
      </c>
      <c r="AB869">
        <v>1</v>
      </c>
      <c r="AO869" t="str">
        <f t="shared" si="45"/>
        <v>41-60</v>
      </c>
      <c r="BD869">
        <v>7</v>
      </c>
      <c r="BF869" cm="1">
        <f t="array" ref="BF869">CORREL(J869:J1869,S869:S1869)</f>
        <v>-0.00201703737157059</v>
      </c>
      <c r="BH869">
        <v>3</v>
      </c>
      <c r="BI869">
        <f t="shared" si="43"/>
        <v>2.33333333333333</v>
      </c>
      <c r="BJ869">
        <f t="shared" si="44"/>
        <v>1.28571428571429</v>
      </c>
    </row>
    <row r="870" spans="1:62">
      <c r="A870" s="1">
        <v>967643843</v>
      </c>
      <c r="B870">
        <v>20</v>
      </c>
      <c r="C870" t="s">
        <v>73</v>
      </c>
      <c r="D870" t="s">
        <v>60</v>
      </c>
      <c r="E870" t="s">
        <v>98</v>
      </c>
      <c r="F870" t="s">
        <v>87</v>
      </c>
      <c r="G870" t="s">
        <v>74</v>
      </c>
      <c r="H870" t="s">
        <v>1061</v>
      </c>
      <c r="I870" t="s">
        <v>89</v>
      </c>
      <c r="J870" s="2">
        <v>308.87</v>
      </c>
      <c r="K870">
        <v>2</v>
      </c>
      <c r="L870" t="s">
        <v>78</v>
      </c>
      <c r="M870">
        <v>3</v>
      </c>
      <c r="N870">
        <v>4</v>
      </c>
      <c r="O870">
        <v>1</v>
      </c>
      <c r="P870" t="s">
        <v>66</v>
      </c>
      <c r="Q870" t="s">
        <v>80</v>
      </c>
      <c r="R870">
        <v>2</v>
      </c>
      <c r="S870">
        <v>2</v>
      </c>
      <c r="T870" t="s">
        <v>66</v>
      </c>
      <c r="U870" t="s">
        <v>68</v>
      </c>
      <c r="V870" t="s">
        <v>110</v>
      </c>
      <c r="W870" s="3">
        <v>45346</v>
      </c>
      <c r="X870" t="b">
        <v>1</v>
      </c>
      <c r="Y870" t="b">
        <v>1</v>
      </c>
      <c r="Z870" t="s">
        <v>92</v>
      </c>
      <c r="AA870" t="s">
        <v>97</v>
      </c>
      <c r="AB870">
        <v>11</v>
      </c>
      <c r="AO870" t="str">
        <f t="shared" si="45"/>
        <v>18-25</v>
      </c>
      <c r="BD870">
        <v>2</v>
      </c>
      <c r="BF870" cm="1">
        <f t="array" ref="BF870">CORREL(J870:J1870,S870:S1870)</f>
        <v>-0.0131544442566986</v>
      </c>
      <c r="BH870">
        <v>2</v>
      </c>
      <c r="BI870">
        <f t="shared" si="43"/>
        <v>1</v>
      </c>
      <c r="BJ870">
        <f t="shared" si="44"/>
        <v>2</v>
      </c>
    </row>
    <row r="871" spans="1:62">
      <c r="A871" s="1">
        <v>167302056</v>
      </c>
      <c r="B871">
        <v>49</v>
      </c>
      <c r="C871" t="s">
        <v>73</v>
      </c>
      <c r="D871" t="s">
        <v>74</v>
      </c>
      <c r="E871" t="s">
        <v>103</v>
      </c>
      <c r="F871" t="s">
        <v>87</v>
      </c>
      <c r="G871" t="s">
        <v>60</v>
      </c>
      <c r="H871" t="s">
        <v>1062</v>
      </c>
      <c r="I871" t="s">
        <v>178</v>
      </c>
      <c r="J871" s="2">
        <v>169.77</v>
      </c>
      <c r="K871">
        <v>5</v>
      </c>
      <c r="L871" t="s">
        <v>78</v>
      </c>
      <c r="M871">
        <v>1</v>
      </c>
      <c r="N871">
        <v>4</v>
      </c>
      <c r="O871">
        <v>0</v>
      </c>
      <c r="P871" t="s">
        <v>79</v>
      </c>
      <c r="Q871" t="s">
        <v>109</v>
      </c>
      <c r="R871">
        <v>2</v>
      </c>
      <c r="S871">
        <v>9</v>
      </c>
      <c r="T871" t="s">
        <v>66</v>
      </c>
      <c r="U871" t="s">
        <v>105</v>
      </c>
      <c r="V871" t="s">
        <v>96</v>
      </c>
      <c r="W871" s="3">
        <v>45458</v>
      </c>
      <c r="X871" t="b">
        <v>1</v>
      </c>
      <c r="Y871" t="b">
        <v>1</v>
      </c>
      <c r="Z871" t="s">
        <v>82</v>
      </c>
      <c r="AA871" t="s">
        <v>83</v>
      </c>
      <c r="AB871">
        <v>7</v>
      </c>
      <c r="AO871" t="str">
        <f t="shared" si="45"/>
        <v>41-60</v>
      </c>
      <c r="BD871">
        <v>5</v>
      </c>
      <c r="BF871" cm="1">
        <f t="array" ref="BF871">CORREL(J871:J1871,S871:S1871)</f>
        <v>-0.0114662491388951</v>
      </c>
      <c r="BH871">
        <v>9</v>
      </c>
      <c r="BI871">
        <f t="shared" ref="BI871:BI902" si="46">K871/S871</f>
        <v>0.555555555555556</v>
      </c>
      <c r="BJ871">
        <f t="shared" si="44"/>
        <v>16.2</v>
      </c>
    </row>
    <row r="872" spans="1:62">
      <c r="A872" s="1">
        <v>221572494</v>
      </c>
      <c r="B872">
        <v>19</v>
      </c>
      <c r="C872" t="s">
        <v>73</v>
      </c>
      <c r="D872" t="s">
        <v>74</v>
      </c>
      <c r="E872" t="s">
        <v>103</v>
      </c>
      <c r="F872" t="s">
        <v>75</v>
      </c>
      <c r="G872" t="s">
        <v>74</v>
      </c>
      <c r="H872" t="s">
        <v>1063</v>
      </c>
      <c r="I872" t="s">
        <v>137</v>
      </c>
      <c r="J872" s="2">
        <v>289.08</v>
      </c>
      <c r="K872">
        <v>12</v>
      </c>
      <c r="L872" t="s">
        <v>85</v>
      </c>
      <c r="M872">
        <v>2</v>
      </c>
      <c r="N872">
        <v>1</v>
      </c>
      <c r="O872">
        <v>0</v>
      </c>
      <c r="P872" t="s">
        <v>66</v>
      </c>
      <c r="Q872" t="s">
        <v>109</v>
      </c>
      <c r="R872">
        <v>1</v>
      </c>
      <c r="S872">
        <v>10</v>
      </c>
      <c r="T872" t="s">
        <v>79</v>
      </c>
      <c r="U872" t="s">
        <v>105</v>
      </c>
      <c r="V872" t="s">
        <v>96</v>
      </c>
      <c r="W872" s="3">
        <v>45518</v>
      </c>
      <c r="X872" t="b">
        <v>1</v>
      </c>
      <c r="Y872" t="b">
        <v>1</v>
      </c>
      <c r="Z872" t="s">
        <v>82</v>
      </c>
      <c r="AA872" t="s">
        <v>83</v>
      </c>
      <c r="AB872">
        <v>7</v>
      </c>
      <c r="AO872" t="str">
        <f t="shared" si="45"/>
        <v>18-25</v>
      </c>
      <c r="BD872">
        <v>12</v>
      </c>
      <c r="BF872" cm="1">
        <f t="array" ref="BF872">CORREL(J872:J1872,S872:S1872)</f>
        <v>-0.00259031444927498</v>
      </c>
      <c r="BH872">
        <v>10</v>
      </c>
      <c r="BI872">
        <f t="shared" si="46"/>
        <v>1.2</v>
      </c>
      <c r="BJ872">
        <f t="shared" si="44"/>
        <v>8.33333333333333</v>
      </c>
    </row>
    <row r="873" spans="1:62">
      <c r="A873" s="1">
        <v>293416463</v>
      </c>
      <c r="B873">
        <v>38</v>
      </c>
      <c r="C873" t="s">
        <v>59</v>
      </c>
      <c r="D873" t="s">
        <v>60</v>
      </c>
      <c r="E873" t="s">
        <v>86</v>
      </c>
      <c r="F873" t="s">
        <v>75</v>
      </c>
      <c r="G873" t="s">
        <v>74</v>
      </c>
      <c r="H873" t="s">
        <v>1064</v>
      </c>
      <c r="I873" t="s">
        <v>178</v>
      </c>
      <c r="J873" s="2">
        <v>74.09</v>
      </c>
      <c r="K873">
        <v>10</v>
      </c>
      <c r="L873" t="s">
        <v>65</v>
      </c>
      <c r="M873">
        <v>1</v>
      </c>
      <c r="N873">
        <v>4</v>
      </c>
      <c r="O873">
        <v>2</v>
      </c>
      <c r="P873" t="s">
        <v>66</v>
      </c>
      <c r="Q873" t="s">
        <v>67</v>
      </c>
      <c r="R873">
        <v>2</v>
      </c>
      <c r="S873">
        <v>9</v>
      </c>
      <c r="T873" t="s">
        <v>84</v>
      </c>
      <c r="U873" t="s">
        <v>68</v>
      </c>
      <c r="V873" t="s">
        <v>96</v>
      </c>
      <c r="W873" s="3">
        <v>45427</v>
      </c>
      <c r="X873" t="b">
        <v>1</v>
      </c>
      <c r="Y873" t="b">
        <v>1</v>
      </c>
      <c r="Z873" t="s">
        <v>92</v>
      </c>
      <c r="AA873" t="s">
        <v>83</v>
      </c>
      <c r="AB873">
        <v>8</v>
      </c>
      <c r="AO873" t="str">
        <f t="shared" si="45"/>
        <v>26-40</v>
      </c>
      <c r="BD873">
        <v>10</v>
      </c>
      <c r="BF873" cm="1">
        <f t="array" ref="BF873">CORREL(J873:J1873,S873:S1873)</f>
        <v>-0.00290665927224067</v>
      </c>
      <c r="BH873">
        <v>9</v>
      </c>
      <c r="BI873">
        <f t="shared" si="46"/>
        <v>1.11111111111111</v>
      </c>
      <c r="BJ873">
        <f t="shared" si="44"/>
        <v>8.1</v>
      </c>
    </row>
    <row r="874" spans="1:62">
      <c r="A874" s="1">
        <v>649064475</v>
      </c>
      <c r="B874">
        <v>43</v>
      </c>
      <c r="C874" t="s">
        <v>73</v>
      </c>
      <c r="D874" t="s">
        <v>74</v>
      </c>
      <c r="E874" t="s">
        <v>61</v>
      </c>
      <c r="F874" t="s">
        <v>75</v>
      </c>
      <c r="G874" t="s">
        <v>60</v>
      </c>
      <c r="H874" t="s">
        <v>1065</v>
      </c>
      <c r="I874" t="s">
        <v>178</v>
      </c>
      <c r="J874" s="2">
        <v>201.53</v>
      </c>
      <c r="K874">
        <v>5</v>
      </c>
      <c r="L874" t="s">
        <v>85</v>
      </c>
      <c r="M874">
        <v>2</v>
      </c>
      <c r="N874">
        <v>3</v>
      </c>
      <c r="O874">
        <v>1</v>
      </c>
      <c r="P874" t="s">
        <v>66</v>
      </c>
      <c r="Q874" t="s">
        <v>80</v>
      </c>
      <c r="R874">
        <v>1</v>
      </c>
      <c r="S874">
        <v>6</v>
      </c>
      <c r="T874" t="s">
        <v>74</v>
      </c>
      <c r="U874" t="s">
        <v>68</v>
      </c>
      <c r="V874" t="s">
        <v>96</v>
      </c>
      <c r="W874" s="3">
        <v>45444</v>
      </c>
      <c r="X874" t="b">
        <v>0</v>
      </c>
      <c r="Y874" t="b">
        <v>1</v>
      </c>
      <c r="Z874" t="s">
        <v>82</v>
      </c>
      <c r="AA874" t="s">
        <v>71</v>
      </c>
      <c r="AB874">
        <v>11</v>
      </c>
      <c r="AO874" t="str">
        <f t="shared" si="45"/>
        <v>41-60</v>
      </c>
      <c r="BD874">
        <v>5</v>
      </c>
      <c r="BF874" cm="1">
        <f t="array" ref="BF874">CORREL(J874:J1874,S874:S1874)</f>
        <v>0.0143123140692377</v>
      </c>
      <c r="BH874">
        <v>6</v>
      </c>
      <c r="BI874">
        <f t="shared" si="46"/>
        <v>0.833333333333333</v>
      </c>
      <c r="BJ874">
        <f t="shared" si="44"/>
        <v>7.2</v>
      </c>
    </row>
    <row r="875" spans="1:62">
      <c r="A875" s="1">
        <v>363408494</v>
      </c>
      <c r="B875">
        <v>38</v>
      </c>
      <c r="C875" t="s">
        <v>73</v>
      </c>
      <c r="D875" t="s">
        <v>60</v>
      </c>
      <c r="E875" t="s">
        <v>103</v>
      </c>
      <c r="F875" t="s">
        <v>62</v>
      </c>
      <c r="G875" t="s">
        <v>74</v>
      </c>
      <c r="H875" t="s">
        <v>1066</v>
      </c>
      <c r="I875" t="s">
        <v>143</v>
      </c>
      <c r="J875" s="2">
        <v>244.6</v>
      </c>
      <c r="K875">
        <v>12</v>
      </c>
      <c r="L875" t="s">
        <v>85</v>
      </c>
      <c r="M875">
        <v>4</v>
      </c>
      <c r="N875">
        <v>4</v>
      </c>
      <c r="O875">
        <v>2</v>
      </c>
      <c r="P875" t="s">
        <v>79</v>
      </c>
      <c r="Q875" t="s">
        <v>67</v>
      </c>
      <c r="R875">
        <v>0</v>
      </c>
      <c r="S875">
        <v>6</v>
      </c>
      <c r="T875" t="s">
        <v>66</v>
      </c>
      <c r="U875" t="s">
        <v>68</v>
      </c>
      <c r="V875" t="s">
        <v>96</v>
      </c>
      <c r="W875" s="3">
        <v>45529</v>
      </c>
      <c r="X875" t="b">
        <v>0</v>
      </c>
      <c r="Y875" t="b">
        <v>0</v>
      </c>
      <c r="Z875" t="s">
        <v>82</v>
      </c>
      <c r="AA875" t="s">
        <v>83</v>
      </c>
      <c r="AB875">
        <v>3</v>
      </c>
      <c r="AO875" t="str">
        <f t="shared" si="45"/>
        <v>26-40</v>
      </c>
      <c r="BD875">
        <v>12</v>
      </c>
      <c r="BF875" cm="1">
        <f t="array" ref="BF875">CORREL(J875:J1875,S875:S1875)</f>
        <v>0.0155264334972274</v>
      </c>
      <c r="BH875">
        <v>6</v>
      </c>
      <c r="BI875">
        <f t="shared" si="46"/>
        <v>2</v>
      </c>
      <c r="BJ875">
        <f t="shared" si="44"/>
        <v>3</v>
      </c>
    </row>
    <row r="876" spans="1:62">
      <c r="A876" s="1">
        <v>770314898</v>
      </c>
      <c r="B876">
        <v>21</v>
      </c>
      <c r="C876" t="s">
        <v>73</v>
      </c>
      <c r="D876" t="s">
        <v>60</v>
      </c>
      <c r="E876" t="s">
        <v>98</v>
      </c>
      <c r="F876" t="s">
        <v>62</v>
      </c>
      <c r="G876" t="s">
        <v>74</v>
      </c>
      <c r="H876" t="s">
        <v>1067</v>
      </c>
      <c r="I876" t="s">
        <v>133</v>
      </c>
      <c r="J876" s="2">
        <v>320.5</v>
      </c>
      <c r="K876">
        <v>10</v>
      </c>
      <c r="L876" t="s">
        <v>78</v>
      </c>
      <c r="M876">
        <v>3</v>
      </c>
      <c r="N876">
        <v>4</v>
      </c>
      <c r="O876">
        <v>2</v>
      </c>
      <c r="P876" t="s">
        <v>84</v>
      </c>
      <c r="Q876" t="s">
        <v>67</v>
      </c>
      <c r="R876">
        <v>0</v>
      </c>
      <c r="S876">
        <v>9</v>
      </c>
      <c r="T876" t="s">
        <v>84</v>
      </c>
      <c r="U876" t="s">
        <v>68</v>
      </c>
      <c r="V876" t="s">
        <v>110</v>
      </c>
      <c r="W876" s="3">
        <v>45352</v>
      </c>
      <c r="X876" t="b">
        <v>1</v>
      </c>
      <c r="Y876" t="b">
        <v>0</v>
      </c>
      <c r="Z876" t="s">
        <v>70</v>
      </c>
      <c r="AA876" t="s">
        <v>97</v>
      </c>
      <c r="AB876">
        <v>9</v>
      </c>
      <c r="AO876" t="str">
        <f t="shared" si="45"/>
        <v>18-25</v>
      </c>
      <c r="BD876">
        <v>10</v>
      </c>
      <c r="BF876" cm="1">
        <f t="array" ref="BF876">CORREL(J876:J1876,S876:S1876)</f>
        <v>0.0161456181553416</v>
      </c>
      <c r="BH876">
        <v>9</v>
      </c>
      <c r="BI876">
        <f t="shared" si="46"/>
        <v>1.11111111111111</v>
      </c>
      <c r="BJ876">
        <f t="shared" si="44"/>
        <v>8.1</v>
      </c>
    </row>
    <row r="877" spans="1:62">
      <c r="A877" s="1">
        <v>860979642</v>
      </c>
      <c r="B877">
        <v>27</v>
      </c>
      <c r="C877" t="s">
        <v>73</v>
      </c>
      <c r="D877" t="s">
        <v>60</v>
      </c>
      <c r="E877" t="s">
        <v>98</v>
      </c>
      <c r="F877" t="s">
        <v>87</v>
      </c>
      <c r="G877" t="s">
        <v>60</v>
      </c>
      <c r="H877" t="s">
        <v>1068</v>
      </c>
      <c r="I877" t="s">
        <v>209</v>
      </c>
      <c r="J877" s="2">
        <v>91.63</v>
      </c>
      <c r="K877">
        <v>3</v>
      </c>
      <c r="L877" t="s">
        <v>78</v>
      </c>
      <c r="M877">
        <v>5</v>
      </c>
      <c r="N877">
        <v>2</v>
      </c>
      <c r="O877">
        <v>2</v>
      </c>
      <c r="P877" t="s">
        <v>66</v>
      </c>
      <c r="Q877" t="s">
        <v>80</v>
      </c>
      <c r="R877">
        <v>0</v>
      </c>
      <c r="S877">
        <v>10</v>
      </c>
      <c r="T877" t="s">
        <v>66</v>
      </c>
      <c r="U877" t="s">
        <v>68</v>
      </c>
      <c r="V877" t="s">
        <v>91</v>
      </c>
      <c r="W877" s="3">
        <v>45473</v>
      </c>
      <c r="X877" t="b">
        <v>1</v>
      </c>
      <c r="Y877" t="b">
        <v>1</v>
      </c>
      <c r="Z877" t="s">
        <v>82</v>
      </c>
      <c r="AA877" t="s">
        <v>83</v>
      </c>
      <c r="AB877">
        <v>2</v>
      </c>
      <c r="AO877" t="str">
        <f t="shared" si="45"/>
        <v>26-40</v>
      </c>
      <c r="BD877">
        <v>3</v>
      </c>
      <c r="BF877" cm="1">
        <f t="array" ref="BF877">CORREL(J877:J1877,S877:S1877)</f>
        <v>0.0136401900656778</v>
      </c>
      <c r="BH877">
        <v>10</v>
      </c>
      <c r="BI877">
        <f t="shared" si="46"/>
        <v>0.3</v>
      </c>
      <c r="BJ877">
        <f t="shared" si="44"/>
        <v>33.3333333333333</v>
      </c>
    </row>
    <row r="878" spans="1:62">
      <c r="A878" s="1">
        <v>640903433</v>
      </c>
      <c r="B878">
        <v>35</v>
      </c>
      <c r="C878" t="s">
        <v>73</v>
      </c>
      <c r="D878" t="s">
        <v>60</v>
      </c>
      <c r="E878" t="s">
        <v>61</v>
      </c>
      <c r="F878" t="s">
        <v>87</v>
      </c>
      <c r="G878" t="s">
        <v>74</v>
      </c>
      <c r="H878" t="s">
        <v>1069</v>
      </c>
      <c r="I878" t="s">
        <v>113</v>
      </c>
      <c r="J878" s="2">
        <v>251.93</v>
      </c>
      <c r="K878">
        <v>8</v>
      </c>
      <c r="L878" t="s">
        <v>78</v>
      </c>
      <c r="M878">
        <v>3</v>
      </c>
      <c r="N878">
        <v>2</v>
      </c>
      <c r="O878">
        <v>1</v>
      </c>
      <c r="P878" t="s">
        <v>74</v>
      </c>
      <c r="Q878" t="s">
        <v>109</v>
      </c>
      <c r="R878">
        <v>2</v>
      </c>
      <c r="S878">
        <v>3</v>
      </c>
      <c r="T878" t="s">
        <v>66</v>
      </c>
      <c r="U878" t="s">
        <v>68</v>
      </c>
      <c r="V878" t="s">
        <v>91</v>
      </c>
      <c r="W878" s="3">
        <v>45293</v>
      </c>
      <c r="X878" t="b">
        <v>0</v>
      </c>
      <c r="Y878" t="b">
        <v>0</v>
      </c>
      <c r="Z878" t="s">
        <v>70</v>
      </c>
      <c r="AA878" t="s">
        <v>83</v>
      </c>
      <c r="AB878">
        <v>7</v>
      </c>
      <c r="AO878" t="str">
        <f t="shared" si="45"/>
        <v>26-40</v>
      </c>
      <c r="BD878">
        <v>8</v>
      </c>
      <c r="BF878" cm="1">
        <f t="array" ref="BF878">CORREL(J878:J1878,S878:S1878)</f>
        <v>0.0354340083985591</v>
      </c>
      <c r="BH878">
        <v>3</v>
      </c>
      <c r="BI878">
        <f t="shared" si="46"/>
        <v>2.66666666666667</v>
      </c>
      <c r="BJ878">
        <f t="shared" si="44"/>
        <v>1.125</v>
      </c>
    </row>
    <row r="879" spans="1:62">
      <c r="A879" s="1">
        <v>961401936</v>
      </c>
      <c r="B879">
        <v>30</v>
      </c>
      <c r="C879" t="s">
        <v>73</v>
      </c>
      <c r="D879" t="s">
        <v>60</v>
      </c>
      <c r="E879" t="s">
        <v>61</v>
      </c>
      <c r="F879" t="s">
        <v>62</v>
      </c>
      <c r="G879" t="s">
        <v>60</v>
      </c>
      <c r="H879" t="s">
        <v>1070</v>
      </c>
      <c r="I879" t="s">
        <v>118</v>
      </c>
      <c r="J879" s="2">
        <v>477.35</v>
      </c>
      <c r="K879">
        <v>4</v>
      </c>
      <c r="L879" t="s">
        <v>85</v>
      </c>
      <c r="M879">
        <v>2</v>
      </c>
      <c r="N879">
        <v>5</v>
      </c>
      <c r="O879">
        <v>0</v>
      </c>
      <c r="P879" t="s">
        <v>74</v>
      </c>
      <c r="Q879" t="s">
        <v>109</v>
      </c>
      <c r="R879">
        <v>1</v>
      </c>
      <c r="S879">
        <v>2</v>
      </c>
      <c r="T879" t="s">
        <v>84</v>
      </c>
      <c r="U879" t="s">
        <v>105</v>
      </c>
      <c r="V879" t="s">
        <v>81</v>
      </c>
      <c r="W879" s="3">
        <v>45654</v>
      </c>
      <c r="X879" t="b">
        <v>0</v>
      </c>
      <c r="Y879" t="b">
        <v>0</v>
      </c>
      <c r="Z879" t="s">
        <v>70</v>
      </c>
      <c r="AA879" t="s">
        <v>71</v>
      </c>
      <c r="AB879">
        <v>14</v>
      </c>
      <c r="AO879" t="str">
        <f t="shared" si="45"/>
        <v>26-40</v>
      </c>
      <c r="BD879">
        <v>4</v>
      </c>
      <c r="BF879" cm="1">
        <f t="array" ref="BF879">CORREL(J879:J1879,S879:S1879)</f>
        <v>0.0334555188890436</v>
      </c>
      <c r="BH879">
        <v>2</v>
      </c>
      <c r="BI879">
        <f t="shared" si="46"/>
        <v>2</v>
      </c>
      <c r="BJ879">
        <f t="shared" si="44"/>
        <v>1</v>
      </c>
    </row>
    <row r="880" spans="1:62">
      <c r="A880" s="1">
        <v>388306976</v>
      </c>
      <c r="B880">
        <v>31</v>
      </c>
      <c r="C880" t="s">
        <v>73</v>
      </c>
      <c r="D880" t="s">
        <v>74</v>
      </c>
      <c r="E880" t="s">
        <v>98</v>
      </c>
      <c r="F880" t="s">
        <v>87</v>
      </c>
      <c r="G880" t="s">
        <v>60</v>
      </c>
      <c r="H880" t="s">
        <v>1071</v>
      </c>
      <c r="I880" t="s">
        <v>135</v>
      </c>
      <c r="J880" s="2">
        <v>86.63</v>
      </c>
      <c r="K880">
        <v>10</v>
      </c>
      <c r="L880" t="s">
        <v>65</v>
      </c>
      <c r="M880">
        <v>3</v>
      </c>
      <c r="N880">
        <v>1</v>
      </c>
      <c r="O880">
        <v>2</v>
      </c>
      <c r="P880" t="s">
        <v>79</v>
      </c>
      <c r="Q880" t="s">
        <v>67</v>
      </c>
      <c r="R880">
        <v>2</v>
      </c>
      <c r="S880">
        <v>2</v>
      </c>
      <c r="T880" t="s">
        <v>84</v>
      </c>
      <c r="U880" t="s">
        <v>68</v>
      </c>
      <c r="V880" t="s">
        <v>110</v>
      </c>
      <c r="W880" s="3">
        <v>45537</v>
      </c>
      <c r="X880" t="b">
        <v>1</v>
      </c>
      <c r="Y880" t="b">
        <v>0</v>
      </c>
      <c r="Z880" t="s">
        <v>82</v>
      </c>
      <c r="AA880" t="s">
        <v>97</v>
      </c>
      <c r="AB880">
        <v>3</v>
      </c>
      <c r="AO880" t="str">
        <f t="shared" si="45"/>
        <v>26-40</v>
      </c>
      <c r="BD880">
        <v>10</v>
      </c>
      <c r="BF880" cm="1">
        <f t="array" ref="BF880">CORREL(J880:J1880,S880:S1880)</f>
        <v>0.048913447339147</v>
      </c>
      <c r="BH880">
        <v>2</v>
      </c>
      <c r="BI880">
        <f t="shared" si="46"/>
        <v>5</v>
      </c>
      <c r="BJ880">
        <f t="shared" si="44"/>
        <v>0.4</v>
      </c>
    </row>
    <row r="881" spans="1:62">
      <c r="A881" s="1">
        <v>828641154</v>
      </c>
      <c r="B881">
        <v>50</v>
      </c>
      <c r="C881" t="s">
        <v>111</v>
      </c>
      <c r="D881" t="s">
        <v>74</v>
      </c>
      <c r="E881" t="s">
        <v>103</v>
      </c>
      <c r="F881" t="s">
        <v>75</v>
      </c>
      <c r="G881" t="s">
        <v>74</v>
      </c>
      <c r="H881" t="s">
        <v>1072</v>
      </c>
      <c r="I881" t="s">
        <v>122</v>
      </c>
      <c r="J881" s="2">
        <v>474.42</v>
      </c>
      <c r="K881">
        <v>4</v>
      </c>
      <c r="L881" t="s">
        <v>78</v>
      </c>
      <c r="M881">
        <v>2</v>
      </c>
      <c r="N881">
        <v>3</v>
      </c>
      <c r="O881">
        <v>0</v>
      </c>
      <c r="P881" t="s">
        <v>79</v>
      </c>
      <c r="Q881" t="s">
        <v>80</v>
      </c>
      <c r="R881">
        <v>1</v>
      </c>
      <c r="S881">
        <v>9</v>
      </c>
      <c r="T881" t="s">
        <v>66</v>
      </c>
      <c r="U881" t="s">
        <v>105</v>
      </c>
      <c r="V881" t="s">
        <v>91</v>
      </c>
      <c r="W881" s="3">
        <v>45556</v>
      </c>
      <c r="X881" t="b">
        <v>1</v>
      </c>
      <c r="Y881" t="b">
        <v>0</v>
      </c>
      <c r="Z881" t="s">
        <v>70</v>
      </c>
      <c r="AA881" t="s">
        <v>71</v>
      </c>
      <c r="AB881">
        <v>5</v>
      </c>
      <c r="AO881" t="str">
        <f t="shared" si="45"/>
        <v>41-60</v>
      </c>
      <c r="BD881">
        <v>4</v>
      </c>
      <c r="BF881" cm="1">
        <f t="array" ref="BF881">CORREL(J881:J1881,S881:S1881)</f>
        <v>0.0331324899085414</v>
      </c>
      <c r="BH881">
        <v>9</v>
      </c>
      <c r="BI881">
        <f t="shared" si="46"/>
        <v>0.444444444444444</v>
      </c>
      <c r="BJ881">
        <f t="shared" si="44"/>
        <v>20.25</v>
      </c>
    </row>
    <row r="882" spans="1:62">
      <c r="A882" s="1">
        <v>797116779</v>
      </c>
      <c r="B882">
        <v>34</v>
      </c>
      <c r="C882" t="s">
        <v>59</v>
      </c>
      <c r="D882" t="s">
        <v>74</v>
      </c>
      <c r="E882" t="s">
        <v>98</v>
      </c>
      <c r="F882" t="s">
        <v>75</v>
      </c>
      <c r="G882" t="s">
        <v>74</v>
      </c>
      <c r="H882" t="s">
        <v>457</v>
      </c>
      <c r="I882" t="s">
        <v>64</v>
      </c>
      <c r="J882" s="2">
        <v>429.24</v>
      </c>
      <c r="K882">
        <v>7</v>
      </c>
      <c r="L882" t="s">
        <v>65</v>
      </c>
      <c r="M882">
        <v>3</v>
      </c>
      <c r="N882">
        <v>5</v>
      </c>
      <c r="O882">
        <v>1</v>
      </c>
      <c r="P882" t="s">
        <v>74</v>
      </c>
      <c r="Q882" t="s">
        <v>80</v>
      </c>
      <c r="R882">
        <v>0</v>
      </c>
      <c r="S882">
        <v>1</v>
      </c>
      <c r="T882" t="s">
        <v>84</v>
      </c>
      <c r="U882" t="s">
        <v>68</v>
      </c>
      <c r="V882" t="s">
        <v>91</v>
      </c>
      <c r="W882" s="3">
        <v>45378</v>
      </c>
      <c r="X882" t="b">
        <v>0</v>
      </c>
      <c r="Y882" t="b">
        <v>0</v>
      </c>
      <c r="Z882" t="s">
        <v>70</v>
      </c>
      <c r="AA882" t="s">
        <v>71</v>
      </c>
      <c r="AB882">
        <v>10</v>
      </c>
      <c r="AO882" t="str">
        <f t="shared" si="45"/>
        <v>26-40</v>
      </c>
      <c r="BD882">
        <v>7</v>
      </c>
      <c r="BF882" cm="1">
        <f t="array" ref="BF882">CORREL(J882:J1882,S882:S1882)</f>
        <v>0.017280734107475</v>
      </c>
      <c r="BH882">
        <v>1</v>
      </c>
      <c r="BI882">
        <f t="shared" si="46"/>
        <v>7</v>
      </c>
      <c r="BJ882">
        <f t="shared" si="44"/>
        <v>0.142857142857143</v>
      </c>
    </row>
    <row r="883" spans="1:62">
      <c r="A883" s="1">
        <v>228609860</v>
      </c>
      <c r="B883">
        <v>24</v>
      </c>
      <c r="C883" t="s">
        <v>59</v>
      </c>
      <c r="D883" t="s">
        <v>74</v>
      </c>
      <c r="E883" t="s">
        <v>61</v>
      </c>
      <c r="F883" t="s">
        <v>75</v>
      </c>
      <c r="G883" t="s">
        <v>74</v>
      </c>
      <c r="H883" t="s">
        <v>1073</v>
      </c>
      <c r="I883" t="s">
        <v>95</v>
      </c>
      <c r="J883" s="2">
        <v>470.38</v>
      </c>
      <c r="K883">
        <v>8</v>
      </c>
      <c r="L883" t="s">
        <v>65</v>
      </c>
      <c r="M883">
        <v>2</v>
      </c>
      <c r="N883">
        <v>4</v>
      </c>
      <c r="O883">
        <v>0</v>
      </c>
      <c r="P883" t="s">
        <v>79</v>
      </c>
      <c r="Q883" t="s">
        <v>80</v>
      </c>
      <c r="R883">
        <v>2</v>
      </c>
      <c r="S883">
        <v>3</v>
      </c>
      <c r="T883" t="s">
        <v>74</v>
      </c>
      <c r="U883" t="s">
        <v>90</v>
      </c>
      <c r="V883" t="s">
        <v>96</v>
      </c>
      <c r="W883" s="3">
        <v>45607</v>
      </c>
      <c r="X883" t="b">
        <v>1</v>
      </c>
      <c r="Y883" t="b">
        <v>1</v>
      </c>
      <c r="Z883" t="s">
        <v>92</v>
      </c>
      <c r="AA883" t="s">
        <v>83</v>
      </c>
      <c r="AB883">
        <v>9</v>
      </c>
      <c r="AO883" t="str">
        <f t="shared" si="45"/>
        <v>18-25</v>
      </c>
      <c r="BD883">
        <v>8</v>
      </c>
      <c r="BF883" cm="1">
        <f t="array" ref="BF883">CORREL(J883:J1883,S883:S1883)</f>
        <v>0.0329719288663474</v>
      </c>
      <c r="BH883">
        <v>3</v>
      </c>
      <c r="BI883">
        <f t="shared" si="46"/>
        <v>2.66666666666667</v>
      </c>
      <c r="BJ883">
        <f t="shared" si="44"/>
        <v>1.125</v>
      </c>
    </row>
    <row r="884" spans="1:62">
      <c r="A884" s="1">
        <v>725906161</v>
      </c>
      <c r="B884">
        <v>32</v>
      </c>
      <c r="C884" t="s">
        <v>59</v>
      </c>
      <c r="D884" t="s">
        <v>60</v>
      </c>
      <c r="E884" t="s">
        <v>86</v>
      </c>
      <c r="F884" t="s">
        <v>87</v>
      </c>
      <c r="G884" t="s">
        <v>74</v>
      </c>
      <c r="H884" t="s">
        <v>1074</v>
      </c>
      <c r="I884" t="s">
        <v>64</v>
      </c>
      <c r="J884" s="2">
        <v>495.8</v>
      </c>
      <c r="K884">
        <v>4</v>
      </c>
      <c r="L884" t="s">
        <v>65</v>
      </c>
      <c r="M884">
        <v>1</v>
      </c>
      <c r="N884">
        <v>2</v>
      </c>
      <c r="O884">
        <v>1</v>
      </c>
      <c r="P884" t="s">
        <v>84</v>
      </c>
      <c r="Q884" t="s">
        <v>80</v>
      </c>
      <c r="R884">
        <v>0</v>
      </c>
      <c r="S884">
        <v>7</v>
      </c>
      <c r="T884" t="s">
        <v>66</v>
      </c>
      <c r="U884" t="s">
        <v>68</v>
      </c>
      <c r="V884" t="s">
        <v>81</v>
      </c>
      <c r="W884" s="3">
        <v>45551</v>
      </c>
      <c r="X884" t="b">
        <v>1</v>
      </c>
      <c r="Y884" t="b">
        <v>1</v>
      </c>
      <c r="Z884" t="s">
        <v>82</v>
      </c>
      <c r="AA884" t="s">
        <v>83</v>
      </c>
      <c r="AB884">
        <v>10</v>
      </c>
      <c r="AO884" t="str">
        <f t="shared" si="45"/>
        <v>26-40</v>
      </c>
      <c r="BD884">
        <v>4</v>
      </c>
      <c r="BF884" cm="1">
        <f t="array" ref="BF884">CORREL(J884:J1884,S884:S1884)</f>
        <v>0.0445547381499242</v>
      </c>
      <c r="BH884">
        <v>7</v>
      </c>
      <c r="BI884">
        <f t="shared" si="46"/>
        <v>0.571428571428571</v>
      </c>
      <c r="BJ884">
        <f t="shared" si="44"/>
        <v>12.25</v>
      </c>
    </row>
    <row r="885" spans="1:62">
      <c r="A885" s="1">
        <v>762135806</v>
      </c>
      <c r="B885">
        <v>21</v>
      </c>
      <c r="C885" t="s">
        <v>59</v>
      </c>
      <c r="D885" t="s">
        <v>74</v>
      </c>
      <c r="E885" t="s">
        <v>98</v>
      </c>
      <c r="F885" t="s">
        <v>62</v>
      </c>
      <c r="G885" t="s">
        <v>60</v>
      </c>
      <c r="H885" t="s">
        <v>1075</v>
      </c>
      <c r="I885" t="s">
        <v>131</v>
      </c>
      <c r="J885" s="2">
        <v>129.64</v>
      </c>
      <c r="K885">
        <v>4</v>
      </c>
      <c r="L885" t="s">
        <v>78</v>
      </c>
      <c r="M885">
        <v>3</v>
      </c>
      <c r="N885">
        <v>1</v>
      </c>
      <c r="O885">
        <v>2</v>
      </c>
      <c r="P885" t="s">
        <v>66</v>
      </c>
      <c r="Q885" t="s">
        <v>80</v>
      </c>
      <c r="R885">
        <v>1</v>
      </c>
      <c r="S885">
        <v>3</v>
      </c>
      <c r="T885" t="s">
        <v>84</v>
      </c>
      <c r="U885" t="s">
        <v>105</v>
      </c>
      <c r="V885" t="s">
        <v>91</v>
      </c>
      <c r="W885" s="3">
        <v>45439</v>
      </c>
      <c r="X885" t="b">
        <v>0</v>
      </c>
      <c r="Y885" t="b">
        <v>1</v>
      </c>
      <c r="Z885" t="s">
        <v>70</v>
      </c>
      <c r="AA885" t="s">
        <v>97</v>
      </c>
      <c r="AB885">
        <v>3</v>
      </c>
      <c r="AO885" t="str">
        <f t="shared" si="45"/>
        <v>18-25</v>
      </c>
      <c r="BD885">
        <v>4</v>
      </c>
      <c r="BF885" cm="1">
        <f t="array" ref="BF885">CORREL(J885:J1885,S885:S1885)</f>
        <v>0.0366240838199754</v>
      </c>
      <c r="BH885">
        <v>3</v>
      </c>
      <c r="BI885">
        <f t="shared" si="46"/>
        <v>1.33333333333333</v>
      </c>
      <c r="BJ885">
        <f t="shared" si="44"/>
        <v>2.25</v>
      </c>
    </row>
    <row r="886" spans="1:62">
      <c r="A886" s="1">
        <v>668945431</v>
      </c>
      <c r="B886">
        <v>41</v>
      </c>
      <c r="C886" t="s">
        <v>73</v>
      </c>
      <c r="D886" t="s">
        <v>60</v>
      </c>
      <c r="E886" t="s">
        <v>86</v>
      </c>
      <c r="F886" t="s">
        <v>87</v>
      </c>
      <c r="G886" t="s">
        <v>74</v>
      </c>
      <c r="H886" t="s">
        <v>1076</v>
      </c>
      <c r="I886" t="s">
        <v>115</v>
      </c>
      <c r="J886" s="2">
        <v>473.77</v>
      </c>
      <c r="K886">
        <v>9</v>
      </c>
      <c r="L886" t="s">
        <v>85</v>
      </c>
      <c r="M886">
        <v>3</v>
      </c>
      <c r="N886">
        <v>1</v>
      </c>
      <c r="O886">
        <v>2</v>
      </c>
      <c r="P886" t="s">
        <v>79</v>
      </c>
      <c r="Q886" t="s">
        <v>109</v>
      </c>
      <c r="R886">
        <v>2</v>
      </c>
      <c r="S886">
        <v>9</v>
      </c>
      <c r="T886" t="s">
        <v>66</v>
      </c>
      <c r="U886" t="s">
        <v>105</v>
      </c>
      <c r="V886" t="s">
        <v>81</v>
      </c>
      <c r="W886" s="3">
        <v>45414</v>
      </c>
      <c r="X886" t="b">
        <v>0</v>
      </c>
      <c r="Y886" t="b">
        <v>0</v>
      </c>
      <c r="Z886" t="s">
        <v>82</v>
      </c>
      <c r="AA886" t="s">
        <v>71</v>
      </c>
      <c r="AB886">
        <v>13</v>
      </c>
      <c r="AO886" t="str">
        <f t="shared" si="45"/>
        <v>41-60</v>
      </c>
      <c r="BD886">
        <v>9</v>
      </c>
      <c r="BF886" cm="1">
        <f t="array" ref="BF886">CORREL(J886:J1886,S886:S1886)</f>
        <v>0.0272446194687791</v>
      </c>
      <c r="BH886">
        <v>9</v>
      </c>
      <c r="BI886">
        <f t="shared" si="46"/>
        <v>1</v>
      </c>
      <c r="BJ886">
        <f t="shared" si="44"/>
        <v>9</v>
      </c>
    </row>
    <row r="887" spans="1:62">
      <c r="A887" s="1">
        <v>209393906</v>
      </c>
      <c r="B887">
        <v>40</v>
      </c>
      <c r="C887" t="s">
        <v>59</v>
      </c>
      <c r="D887" t="s">
        <v>74</v>
      </c>
      <c r="E887" t="s">
        <v>61</v>
      </c>
      <c r="F887" t="s">
        <v>75</v>
      </c>
      <c r="G887" t="s">
        <v>60</v>
      </c>
      <c r="H887" t="s">
        <v>1077</v>
      </c>
      <c r="I887" t="s">
        <v>131</v>
      </c>
      <c r="J887" s="2">
        <v>130.84</v>
      </c>
      <c r="K887">
        <v>4</v>
      </c>
      <c r="L887" t="s">
        <v>85</v>
      </c>
      <c r="M887">
        <v>5</v>
      </c>
      <c r="N887">
        <v>5</v>
      </c>
      <c r="O887">
        <v>2</v>
      </c>
      <c r="P887" t="s">
        <v>79</v>
      </c>
      <c r="Q887" t="s">
        <v>109</v>
      </c>
      <c r="R887">
        <v>2</v>
      </c>
      <c r="S887">
        <v>10</v>
      </c>
      <c r="T887" t="s">
        <v>84</v>
      </c>
      <c r="U887" t="s">
        <v>68</v>
      </c>
      <c r="V887" t="s">
        <v>81</v>
      </c>
      <c r="W887" s="3">
        <v>45548</v>
      </c>
      <c r="X887" t="b">
        <v>1</v>
      </c>
      <c r="Y887" t="b">
        <v>1</v>
      </c>
      <c r="Z887" t="s">
        <v>70</v>
      </c>
      <c r="AA887" t="s">
        <v>83</v>
      </c>
      <c r="AB887">
        <v>13</v>
      </c>
      <c r="AO887" t="str">
        <f t="shared" si="45"/>
        <v>26-40</v>
      </c>
      <c r="BD887">
        <v>4</v>
      </c>
      <c r="BF887" cm="1">
        <f t="array" ref="BF887">CORREL(J887:J1887,S887:S1887)</f>
        <v>0.00992404718112619</v>
      </c>
      <c r="BH887">
        <v>10</v>
      </c>
      <c r="BI887">
        <f t="shared" si="46"/>
        <v>0.4</v>
      </c>
      <c r="BJ887">
        <f t="shared" si="44"/>
        <v>25</v>
      </c>
    </row>
    <row r="888" spans="1:62">
      <c r="A888" s="1">
        <v>863909555</v>
      </c>
      <c r="B888">
        <v>48</v>
      </c>
      <c r="C888" t="s">
        <v>73</v>
      </c>
      <c r="D888" t="s">
        <v>60</v>
      </c>
      <c r="E888" t="s">
        <v>86</v>
      </c>
      <c r="F888" t="s">
        <v>87</v>
      </c>
      <c r="G888" t="s">
        <v>74</v>
      </c>
      <c r="H888" t="s">
        <v>1078</v>
      </c>
      <c r="I888" t="s">
        <v>156</v>
      </c>
      <c r="J888" s="2">
        <v>436.54</v>
      </c>
      <c r="K888">
        <v>12</v>
      </c>
      <c r="L888" t="s">
        <v>85</v>
      </c>
      <c r="M888">
        <v>3</v>
      </c>
      <c r="N888">
        <v>3</v>
      </c>
      <c r="O888">
        <v>0</v>
      </c>
      <c r="P888" t="s">
        <v>79</v>
      </c>
      <c r="Q888" t="s">
        <v>109</v>
      </c>
      <c r="R888">
        <v>1</v>
      </c>
      <c r="S888">
        <v>8</v>
      </c>
      <c r="T888" t="s">
        <v>84</v>
      </c>
      <c r="U888" t="s">
        <v>90</v>
      </c>
      <c r="V888" t="s">
        <v>91</v>
      </c>
      <c r="W888" s="3">
        <v>45442</v>
      </c>
      <c r="X888" t="b">
        <v>1</v>
      </c>
      <c r="Y888" t="b">
        <v>0</v>
      </c>
      <c r="Z888" t="s">
        <v>82</v>
      </c>
      <c r="AA888" t="s">
        <v>71</v>
      </c>
      <c r="AB888">
        <v>9</v>
      </c>
      <c r="AO888" t="str">
        <f t="shared" si="45"/>
        <v>41-60</v>
      </c>
      <c r="BD888">
        <v>12</v>
      </c>
      <c r="BF888" cm="1">
        <f t="array" ref="BF888">CORREL(J888:J1888,S888:S1888)</f>
        <v>0.0292753261198932</v>
      </c>
      <c r="BH888">
        <v>8</v>
      </c>
      <c r="BI888">
        <f t="shared" si="46"/>
        <v>1.5</v>
      </c>
      <c r="BJ888">
        <f t="shared" si="44"/>
        <v>5.33333333333333</v>
      </c>
    </row>
    <row r="889" spans="1:62">
      <c r="A889" s="1">
        <v>916020761</v>
      </c>
      <c r="B889">
        <v>25</v>
      </c>
      <c r="C889" t="s">
        <v>59</v>
      </c>
      <c r="D889" t="s">
        <v>60</v>
      </c>
      <c r="E889" t="s">
        <v>98</v>
      </c>
      <c r="F889" t="s">
        <v>62</v>
      </c>
      <c r="G889" t="s">
        <v>60</v>
      </c>
      <c r="H889" t="s">
        <v>1079</v>
      </c>
      <c r="I889" t="s">
        <v>120</v>
      </c>
      <c r="J889" s="2">
        <v>264.01</v>
      </c>
      <c r="K889">
        <v>4</v>
      </c>
      <c r="L889" t="s">
        <v>78</v>
      </c>
      <c r="M889">
        <v>3</v>
      </c>
      <c r="N889">
        <v>4</v>
      </c>
      <c r="O889">
        <v>0</v>
      </c>
      <c r="P889" t="s">
        <v>74</v>
      </c>
      <c r="Q889" t="s">
        <v>67</v>
      </c>
      <c r="R889">
        <v>1</v>
      </c>
      <c r="S889">
        <v>5</v>
      </c>
      <c r="T889" t="s">
        <v>66</v>
      </c>
      <c r="U889" t="s">
        <v>105</v>
      </c>
      <c r="V889" t="s">
        <v>96</v>
      </c>
      <c r="W889" s="3">
        <v>45586</v>
      </c>
      <c r="X889" t="b">
        <v>1</v>
      </c>
      <c r="Y889" t="b">
        <v>0</v>
      </c>
      <c r="Z889" t="s">
        <v>70</v>
      </c>
      <c r="AA889" t="s">
        <v>71</v>
      </c>
      <c r="AB889">
        <v>2</v>
      </c>
      <c r="AO889" t="str">
        <f t="shared" si="45"/>
        <v>18-25</v>
      </c>
      <c r="BD889">
        <v>4</v>
      </c>
      <c r="BF889" cm="1">
        <f t="array" ref="BF889">CORREL(J889:J1889,S889:S1889)</f>
        <v>0.0186805934747054</v>
      </c>
      <c r="BH889">
        <v>5</v>
      </c>
      <c r="BI889">
        <f t="shared" si="46"/>
        <v>0.8</v>
      </c>
      <c r="BJ889">
        <f t="shared" si="44"/>
        <v>6.25</v>
      </c>
    </row>
    <row r="890" spans="1:62">
      <c r="A890" s="1">
        <v>629747965</v>
      </c>
      <c r="B890">
        <v>30</v>
      </c>
      <c r="C890" t="s">
        <v>59</v>
      </c>
      <c r="D890" t="s">
        <v>74</v>
      </c>
      <c r="E890" t="s">
        <v>103</v>
      </c>
      <c r="F890" t="s">
        <v>62</v>
      </c>
      <c r="G890" t="s">
        <v>74</v>
      </c>
      <c r="H890" t="s">
        <v>1080</v>
      </c>
      <c r="I890" t="s">
        <v>178</v>
      </c>
      <c r="J890" s="2">
        <v>58.27</v>
      </c>
      <c r="K890">
        <v>2</v>
      </c>
      <c r="L890" t="s">
        <v>78</v>
      </c>
      <c r="M890">
        <v>5</v>
      </c>
      <c r="N890">
        <v>4</v>
      </c>
      <c r="O890">
        <v>1</v>
      </c>
      <c r="P890" t="s">
        <v>79</v>
      </c>
      <c r="Q890" t="s">
        <v>67</v>
      </c>
      <c r="R890">
        <v>1</v>
      </c>
      <c r="S890">
        <v>4</v>
      </c>
      <c r="T890" t="s">
        <v>79</v>
      </c>
      <c r="U890" t="s">
        <v>90</v>
      </c>
      <c r="V890" t="s">
        <v>110</v>
      </c>
      <c r="W890" s="3">
        <v>45580</v>
      </c>
      <c r="X890" t="b">
        <v>0</v>
      </c>
      <c r="Y890" t="b">
        <v>1</v>
      </c>
      <c r="Z890" t="s">
        <v>70</v>
      </c>
      <c r="AA890" t="s">
        <v>71</v>
      </c>
      <c r="AB890">
        <v>13</v>
      </c>
      <c r="AO890" t="str">
        <f t="shared" si="45"/>
        <v>26-40</v>
      </c>
      <c r="BD890">
        <v>2</v>
      </c>
      <c r="BF890" cm="1">
        <f t="array" ref="BF890">CORREL(J890:J1890,S890:S1890)</f>
        <v>0.0184963963341718</v>
      </c>
      <c r="BH890">
        <v>4</v>
      </c>
      <c r="BI890">
        <f t="shared" si="46"/>
        <v>0.5</v>
      </c>
      <c r="BJ890">
        <f t="shared" si="44"/>
        <v>8</v>
      </c>
    </row>
    <row r="891" spans="1:62">
      <c r="A891" s="1">
        <v>212321397</v>
      </c>
      <c r="B891">
        <v>25</v>
      </c>
      <c r="C891" t="s">
        <v>73</v>
      </c>
      <c r="D891" t="s">
        <v>60</v>
      </c>
      <c r="E891" t="s">
        <v>86</v>
      </c>
      <c r="F891" t="s">
        <v>87</v>
      </c>
      <c r="G891" t="s">
        <v>74</v>
      </c>
      <c r="H891" t="s">
        <v>1081</v>
      </c>
      <c r="I891" t="s">
        <v>113</v>
      </c>
      <c r="J891" s="2">
        <v>190.76</v>
      </c>
      <c r="K891">
        <v>10</v>
      </c>
      <c r="L891" t="s">
        <v>78</v>
      </c>
      <c r="M891">
        <v>5</v>
      </c>
      <c r="N891">
        <v>5</v>
      </c>
      <c r="O891">
        <v>2</v>
      </c>
      <c r="P891" t="s">
        <v>66</v>
      </c>
      <c r="Q891" t="s">
        <v>80</v>
      </c>
      <c r="R891">
        <v>1</v>
      </c>
      <c r="S891">
        <v>3</v>
      </c>
      <c r="T891" t="s">
        <v>74</v>
      </c>
      <c r="U891" t="s">
        <v>105</v>
      </c>
      <c r="V891" t="s">
        <v>96</v>
      </c>
      <c r="W891" s="3">
        <v>45603</v>
      </c>
      <c r="X891" t="b">
        <v>0</v>
      </c>
      <c r="Y891" t="b">
        <v>0</v>
      </c>
      <c r="Z891" t="s">
        <v>102</v>
      </c>
      <c r="AA891" t="s">
        <v>97</v>
      </c>
      <c r="AB891">
        <v>11</v>
      </c>
      <c r="AO891" t="str">
        <f t="shared" si="45"/>
        <v>18-25</v>
      </c>
      <c r="BD891">
        <v>10</v>
      </c>
      <c r="BF891" cm="1">
        <f t="array" ref="BF891">CORREL(J891:J1891,S891:S1891)</f>
        <v>0.0103496582997338</v>
      </c>
      <c r="BH891">
        <v>3</v>
      </c>
      <c r="BI891">
        <f t="shared" si="46"/>
        <v>3.33333333333333</v>
      </c>
      <c r="BJ891">
        <f t="shared" si="44"/>
        <v>0.9</v>
      </c>
    </row>
    <row r="892" spans="1:62">
      <c r="A892" s="1">
        <v>313644144</v>
      </c>
      <c r="B892">
        <v>40</v>
      </c>
      <c r="C892" t="s">
        <v>59</v>
      </c>
      <c r="D892" t="s">
        <v>74</v>
      </c>
      <c r="E892" t="s">
        <v>98</v>
      </c>
      <c r="F892" t="s">
        <v>87</v>
      </c>
      <c r="G892" t="s">
        <v>74</v>
      </c>
      <c r="H892" t="s">
        <v>1082</v>
      </c>
      <c r="I892" t="s">
        <v>120</v>
      </c>
      <c r="J892" s="2">
        <v>105.76</v>
      </c>
      <c r="K892">
        <v>8</v>
      </c>
      <c r="L892" t="s">
        <v>85</v>
      </c>
      <c r="M892">
        <v>4</v>
      </c>
      <c r="N892">
        <v>4</v>
      </c>
      <c r="O892">
        <v>2</v>
      </c>
      <c r="P892" t="s">
        <v>66</v>
      </c>
      <c r="Q892" t="s">
        <v>109</v>
      </c>
      <c r="R892">
        <v>1</v>
      </c>
      <c r="S892">
        <v>8</v>
      </c>
      <c r="T892" t="s">
        <v>79</v>
      </c>
      <c r="U892" t="s">
        <v>68</v>
      </c>
      <c r="V892" t="s">
        <v>69</v>
      </c>
      <c r="W892" s="3">
        <v>45309</v>
      </c>
      <c r="X892" t="b">
        <v>0</v>
      </c>
      <c r="Y892" t="b">
        <v>0</v>
      </c>
      <c r="Z892" t="s">
        <v>102</v>
      </c>
      <c r="AA892" t="s">
        <v>97</v>
      </c>
      <c r="AB892">
        <v>4</v>
      </c>
      <c r="AO892" t="str">
        <f t="shared" si="45"/>
        <v>26-40</v>
      </c>
      <c r="BD892">
        <v>8</v>
      </c>
      <c r="BF892" cm="1">
        <f t="array" ref="BF892">CORREL(J892:J1892,S892:S1892)</f>
        <v>0.00409373998810397</v>
      </c>
      <c r="BH892">
        <v>8</v>
      </c>
      <c r="BI892">
        <f t="shared" si="46"/>
        <v>1</v>
      </c>
      <c r="BJ892">
        <f t="shared" si="44"/>
        <v>8</v>
      </c>
    </row>
    <row r="893" spans="1:62">
      <c r="A893" s="1">
        <v>999457193</v>
      </c>
      <c r="B893">
        <v>24</v>
      </c>
      <c r="C893" t="s">
        <v>59</v>
      </c>
      <c r="D893" t="s">
        <v>60</v>
      </c>
      <c r="E893" t="s">
        <v>86</v>
      </c>
      <c r="F893" t="s">
        <v>87</v>
      </c>
      <c r="G893" t="s">
        <v>74</v>
      </c>
      <c r="H893" t="s">
        <v>1083</v>
      </c>
      <c r="I893" t="s">
        <v>124</v>
      </c>
      <c r="J893" s="2">
        <v>254.29</v>
      </c>
      <c r="K893">
        <v>9</v>
      </c>
      <c r="L893" t="s">
        <v>65</v>
      </c>
      <c r="M893">
        <v>5</v>
      </c>
      <c r="N893">
        <v>4</v>
      </c>
      <c r="O893">
        <v>0</v>
      </c>
      <c r="P893" t="s">
        <v>79</v>
      </c>
      <c r="Q893" t="s">
        <v>67</v>
      </c>
      <c r="R893">
        <v>1</v>
      </c>
      <c r="S893">
        <v>7</v>
      </c>
      <c r="T893" t="s">
        <v>84</v>
      </c>
      <c r="U893" t="s">
        <v>90</v>
      </c>
      <c r="V893" t="s">
        <v>110</v>
      </c>
      <c r="W893" s="3">
        <v>45412</v>
      </c>
      <c r="X893" t="b">
        <v>0</v>
      </c>
      <c r="Y893" t="b">
        <v>0</v>
      </c>
      <c r="Z893" t="s">
        <v>92</v>
      </c>
      <c r="AA893" t="s">
        <v>97</v>
      </c>
      <c r="AB893">
        <v>3</v>
      </c>
      <c r="AO893" t="str">
        <f t="shared" si="45"/>
        <v>18-25</v>
      </c>
      <c r="BD893">
        <v>9</v>
      </c>
      <c r="BF893" cm="1">
        <f t="array" ref="BF893">CORREL(J893:J1893,S893:S1893)</f>
        <v>0.0177442240203967</v>
      </c>
      <c r="BH893">
        <v>7</v>
      </c>
      <c r="BI893">
        <f t="shared" si="46"/>
        <v>1.28571428571429</v>
      </c>
      <c r="BJ893">
        <f t="shared" si="44"/>
        <v>5.44444444444444</v>
      </c>
    </row>
    <row r="894" spans="1:62">
      <c r="A894" s="1">
        <v>910533261</v>
      </c>
      <c r="B894">
        <v>49</v>
      </c>
      <c r="C894" t="s">
        <v>73</v>
      </c>
      <c r="D894" t="s">
        <v>60</v>
      </c>
      <c r="E894" t="s">
        <v>103</v>
      </c>
      <c r="F894" t="s">
        <v>62</v>
      </c>
      <c r="G894" t="s">
        <v>74</v>
      </c>
      <c r="H894" t="s">
        <v>1084</v>
      </c>
      <c r="I894" t="s">
        <v>113</v>
      </c>
      <c r="J894" s="2">
        <v>435.52</v>
      </c>
      <c r="K894">
        <v>9</v>
      </c>
      <c r="L894" t="s">
        <v>85</v>
      </c>
      <c r="M894">
        <v>5</v>
      </c>
      <c r="N894">
        <v>3</v>
      </c>
      <c r="O894">
        <v>2</v>
      </c>
      <c r="P894" t="s">
        <v>74</v>
      </c>
      <c r="Q894" t="s">
        <v>80</v>
      </c>
      <c r="R894">
        <v>1</v>
      </c>
      <c r="S894">
        <v>2</v>
      </c>
      <c r="T894" t="s">
        <v>79</v>
      </c>
      <c r="U894" t="s">
        <v>105</v>
      </c>
      <c r="V894" t="s">
        <v>91</v>
      </c>
      <c r="W894" s="3">
        <v>45608</v>
      </c>
      <c r="X894" t="b">
        <v>1</v>
      </c>
      <c r="Y894" t="b">
        <v>0</v>
      </c>
      <c r="Z894" t="s">
        <v>92</v>
      </c>
      <c r="AA894" t="s">
        <v>71</v>
      </c>
      <c r="AB894">
        <v>11</v>
      </c>
      <c r="AO894" t="str">
        <f t="shared" si="45"/>
        <v>41-60</v>
      </c>
      <c r="BD894">
        <v>9</v>
      </c>
      <c r="BF894" cm="1">
        <f t="array" ref="BF894">CORREL(J894:J1894,S894:S1894)</f>
        <v>0.0194247775568093</v>
      </c>
      <c r="BH894">
        <v>2</v>
      </c>
      <c r="BI894">
        <f t="shared" si="46"/>
        <v>4.5</v>
      </c>
      <c r="BJ894">
        <f t="shared" si="44"/>
        <v>0.444444444444444</v>
      </c>
    </row>
    <row r="895" spans="1:62">
      <c r="A895" s="1">
        <v>504475171</v>
      </c>
      <c r="B895">
        <v>50</v>
      </c>
      <c r="C895" t="s">
        <v>59</v>
      </c>
      <c r="D895" t="s">
        <v>74</v>
      </c>
      <c r="E895" t="s">
        <v>61</v>
      </c>
      <c r="F895" t="s">
        <v>87</v>
      </c>
      <c r="G895" t="s">
        <v>60</v>
      </c>
      <c r="H895" t="s">
        <v>1085</v>
      </c>
      <c r="I895" t="s">
        <v>89</v>
      </c>
      <c r="J895" s="2">
        <v>235.49</v>
      </c>
      <c r="K895">
        <v>5</v>
      </c>
      <c r="L895" t="s">
        <v>78</v>
      </c>
      <c r="M895">
        <v>4</v>
      </c>
      <c r="N895">
        <v>3</v>
      </c>
      <c r="O895">
        <v>1</v>
      </c>
      <c r="P895" t="s">
        <v>74</v>
      </c>
      <c r="Q895" t="s">
        <v>67</v>
      </c>
      <c r="R895">
        <v>1</v>
      </c>
      <c r="S895">
        <v>6</v>
      </c>
      <c r="T895" t="s">
        <v>66</v>
      </c>
      <c r="U895" t="s">
        <v>90</v>
      </c>
      <c r="V895" t="s">
        <v>110</v>
      </c>
      <c r="W895" s="3">
        <v>45425</v>
      </c>
      <c r="X895" t="b">
        <v>1</v>
      </c>
      <c r="Y895" t="b">
        <v>0</v>
      </c>
      <c r="Z895" t="s">
        <v>92</v>
      </c>
      <c r="AA895" t="s">
        <v>97</v>
      </c>
      <c r="AB895">
        <v>5</v>
      </c>
      <c r="AO895" t="str">
        <f t="shared" si="45"/>
        <v>41-60</v>
      </c>
      <c r="BD895">
        <v>5</v>
      </c>
      <c r="BF895" cm="1">
        <f t="array" ref="BF895">CORREL(J895:J1895,S895:S1895)</f>
        <v>0.0337889820697957</v>
      </c>
      <c r="BH895">
        <v>6</v>
      </c>
      <c r="BI895">
        <f t="shared" si="46"/>
        <v>0.833333333333333</v>
      </c>
      <c r="BJ895">
        <f t="shared" si="44"/>
        <v>7.2</v>
      </c>
    </row>
    <row r="896" spans="1:62">
      <c r="A896" s="1">
        <v>897547244</v>
      </c>
      <c r="B896">
        <v>45</v>
      </c>
      <c r="C896" t="s">
        <v>73</v>
      </c>
      <c r="D896" t="s">
        <v>74</v>
      </c>
      <c r="E896" t="s">
        <v>98</v>
      </c>
      <c r="F896" t="s">
        <v>87</v>
      </c>
      <c r="G896" t="s">
        <v>60</v>
      </c>
      <c r="H896" t="s">
        <v>1086</v>
      </c>
      <c r="I896" t="s">
        <v>115</v>
      </c>
      <c r="J896" s="2">
        <v>161.34</v>
      </c>
      <c r="K896">
        <v>3</v>
      </c>
      <c r="L896" t="s">
        <v>65</v>
      </c>
      <c r="M896">
        <v>2</v>
      </c>
      <c r="N896">
        <v>3</v>
      </c>
      <c r="O896">
        <v>2</v>
      </c>
      <c r="P896" t="s">
        <v>74</v>
      </c>
      <c r="Q896" t="s">
        <v>109</v>
      </c>
      <c r="R896">
        <v>1</v>
      </c>
      <c r="S896">
        <v>8</v>
      </c>
      <c r="T896" t="s">
        <v>79</v>
      </c>
      <c r="U896" t="s">
        <v>68</v>
      </c>
      <c r="V896" t="s">
        <v>69</v>
      </c>
      <c r="W896" s="3">
        <v>45563</v>
      </c>
      <c r="X896" t="b">
        <v>1</v>
      </c>
      <c r="Y896" t="b">
        <v>0</v>
      </c>
      <c r="Z896" t="s">
        <v>92</v>
      </c>
      <c r="AA896" t="s">
        <v>71</v>
      </c>
      <c r="AB896">
        <v>4</v>
      </c>
      <c r="AO896" t="str">
        <f t="shared" si="45"/>
        <v>41-60</v>
      </c>
      <c r="BD896">
        <v>3</v>
      </c>
      <c r="BF896" cm="1">
        <f t="array" ref="BF896">CORREL(J896:J1896,S896:S1896)</f>
        <v>0.0347956890062585</v>
      </c>
      <c r="BH896">
        <v>8</v>
      </c>
      <c r="BI896">
        <f t="shared" si="46"/>
        <v>0.375</v>
      </c>
      <c r="BJ896">
        <f t="shared" si="44"/>
        <v>21.3333333333333</v>
      </c>
    </row>
    <row r="897" spans="1:62">
      <c r="A897" s="1">
        <v>560727011</v>
      </c>
      <c r="B897">
        <v>19</v>
      </c>
      <c r="C897" t="s">
        <v>73</v>
      </c>
      <c r="D897" t="s">
        <v>74</v>
      </c>
      <c r="E897" t="s">
        <v>86</v>
      </c>
      <c r="F897" t="s">
        <v>87</v>
      </c>
      <c r="G897" t="s">
        <v>74</v>
      </c>
      <c r="H897" t="s">
        <v>1087</v>
      </c>
      <c r="I897" t="s">
        <v>115</v>
      </c>
      <c r="J897" s="2">
        <v>167.67</v>
      </c>
      <c r="K897">
        <v>11</v>
      </c>
      <c r="L897" t="s">
        <v>78</v>
      </c>
      <c r="M897">
        <v>5</v>
      </c>
      <c r="N897">
        <v>2</v>
      </c>
      <c r="O897">
        <v>1</v>
      </c>
      <c r="P897" t="s">
        <v>74</v>
      </c>
      <c r="Q897" t="s">
        <v>109</v>
      </c>
      <c r="R897">
        <v>0</v>
      </c>
      <c r="S897">
        <v>6</v>
      </c>
      <c r="T897" t="s">
        <v>79</v>
      </c>
      <c r="U897" t="s">
        <v>90</v>
      </c>
      <c r="V897" t="s">
        <v>69</v>
      </c>
      <c r="W897" s="3">
        <v>45369</v>
      </c>
      <c r="X897" t="b">
        <v>0</v>
      </c>
      <c r="Y897" t="b">
        <v>1</v>
      </c>
      <c r="Z897" t="s">
        <v>70</v>
      </c>
      <c r="AA897" t="s">
        <v>97</v>
      </c>
      <c r="AB897">
        <v>5</v>
      </c>
      <c r="AO897" t="str">
        <f t="shared" si="45"/>
        <v>18-25</v>
      </c>
      <c r="BD897">
        <v>11</v>
      </c>
      <c r="BF897" cm="1">
        <f t="array" ref="BF897">CORREL(J897:J1897,S897:S1897)</f>
        <v>0.0449734872290245</v>
      </c>
      <c r="BH897">
        <v>6</v>
      </c>
      <c r="BI897">
        <f t="shared" si="46"/>
        <v>1.83333333333333</v>
      </c>
      <c r="BJ897">
        <f t="shared" si="44"/>
        <v>3.27272727272727</v>
      </c>
    </row>
    <row r="898" spans="1:62">
      <c r="A898" s="1">
        <v>742813421</v>
      </c>
      <c r="B898">
        <v>50</v>
      </c>
      <c r="C898" t="s">
        <v>59</v>
      </c>
      <c r="D898" t="s">
        <v>60</v>
      </c>
      <c r="E898" t="s">
        <v>98</v>
      </c>
      <c r="F898" t="s">
        <v>75</v>
      </c>
      <c r="G898" t="s">
        <v>74</v>
      </c>
      <c r="H898" t="s">
        <v>1088</v>
      </c>
      <c r="I898" t="s">
        <v>77</v>
      </c>
      <c r="J898" s="2">
        <v>96.68</v>
      </c>
      <c r="K898">
        <v>10</v>
      </c>
      <c r="L898" t="s">
        <v>65</v>
      </c>
      <c r="M898">
        <v>5</v>
      </c>
      <c r="N898">
        <v>2</v>
      </c>
      <c r="O898">
        <v>2</v>
      </c>
      <c r="P898" t="s">
        <v>74</v>
      </c>
      <c r="Q898" t="s">
        <v>67</v>
      </c>
      <c r="R898">
        <v>2</v>
      </c>
      <c r="S898">
        <v>3</v>
      </c>
      <c r="T898" t="s">
        <v>66</v>
      </c>
      <c r="U898" t="s">
        <v>90</v>
      </c>
      <c r="V898" t="s">
        <v>69</v>
      </c>
      <c r="W898" s="3">
        <v>45395</v>
      </c>
      <c r="X898" t="b">
        <v>1</v>
      </c>
      <c r="Y898" t="b">
        <v>0</v>
      </c>
      <c r="Z898" t="s">
        <v>102</v>
      </c>
      <c r="AA898" t="s">
        <v>71</v>
      </c>
      <c r="AB898">
        <v>10</v>
      </c>
      <c r="AO898" t="str">
        <f t="shared" si="45"/>
        <v>41-60</v>
      </c>
      <c r="BD898">
        <v>10</v>
      </c>
      <c r="BF898" cm="1">
        <f t="array" ref="BF898">CORREL(J898:J1898,S898:S1898)</f>
        <v>0.047593054511209</v>
      </c>
      <c r="BH898">
        <v>3</v>
      </c>
      <c r="BI898">
        <f t="shared" si="46"/>
        <v>3.33333333333333</v>
      </c>
      <c r="BJ898">
        <f t="shared" si="44"/>
        <v>0.9</v>
      </c>
    </row>
    <row r="899" spans="1:62">
      <c r="A899" s="1">
        <v>860682133</v>
      </c>
      <c r="B899">
        <v>32</v>
      </c>
      <c r="C899" t="s">
        <v>73</v>
      </c>
      <c r="D899" t="s">
        <v>74</v>
      </c>
      <c r="E899" t="s">
        <v>61</v>
      </c>
      <c r="F899" t="s">
        <v>87</v>
      </c>
      <c r="G899" t="s">
        <v>74</v>
      </c>
      <c r="H899" t="s">
        <v>1089</v>
      </c>
      <c r="I899" t="s">
        <v>64</v>
      </c>
      <c r="J899" s="2">
        <v>234.58</v>
      </c>
      <c r="K899">
        <v>3</v>
      </c>
      <c r="L899" t="s">
        <v>65</v>
      </c>
      <c r="M899">
        <v>5</v>
      </c>
      <c r="N899">
        <v>5</v>
      </c>
      <c r="O899">
        <v>2</v>
      </c>
      <c r="P899" t="s">
        <v>84</v>
      </c>
      <c r="Q899" t="s">
        <v>109</v>
      </c>
      <c r="R899">
        <v>2</v>
      </c>
      <c r="S899">
        <v>6</v>
      </c>
      <c r="T899" t="s">
        <v>66</v>
      </c>
      <c r="U899" t="s">
        <v>105</v>
      </c>
      <c r="V899" t="s">
        <v>81</v>
      </c>
      <c r="W899" s="3">
        <v>45405</v>
      </c>
      <c r="X899" t="b">
        <v>1</v>
      </c>
      <c r="Y899" t="b">
        <v>0</v>
      </c>
      <c r="Z899" t="s">
        <v>92</v>
      </c>
      <c r="AA899" t="s">
        <v>83</v>
      </c>
      <c r="AB899">
        <v>1</v>
      </c>
      <c r="AO899" t="str">
        <f t="shared" si="45"/>
        <v>26-40</v>
      </c>
      <c r="BD899">
        <v>3</v>
      </c>
      <c r="BF899" cm="1">
        <f t="array" ref="BF899">CORREL(J899:J1899,S899:S1899)</f>
        <v>0.0348408285983534</v>
      </c>
      <c r="BH899">
        <v>6</v>
      </c>
      <c r="BI899">
        <f t="shared" si="46"/>
        <v>0.5</v>
      </c>
      <c r="BJ899">
        <f t="shared" ref="BJ899:BJ950" si="47">BH899/BI899</f>
        <v>12</v>
      </c>
    </row>
    <row r="900" spans="1:62">
      <c r="A900" s="4" t="s">
        <v>1090</v>
      </c>
      <c r="B900">
        <v>21</v>
      </c>
      <c r="C900" t="s">
        <v>73</v>
      </c>
      <c r="D900" t="s">
        <v>60</v>
      </c>
      <c r="E900" t="s">
        <v>61</v>
      </c>
      <c r="F900" t="s">
        <v>87</v>
      </c>
      <c r="G900" t="s">
        <v>60</v>
      </c>
      <c r="H900" t="s">
        <v>1091</v>
      </c>
      <c r="I900" t="s">
        <v>100</v>
      </c>
      <c r="J900" s="2">
        <v>156.48</v>
      </c>
      <c r="K900">
        <v>7</v>
      </c>
      <c r="L900" t="s">
        <v>78</v>
      </c>
      <c r="M900">
        <v>5</v>
      </c>
      <c r="N900">
        <v>1</v>
      </c>
      <c r="O900">
        <v>0</v>
      </c>
      <c r="P900" t="s">
        <v>84</v>
      </c>
      <c r="Q900" t="s">
        <v>80</v>
      </c>
      <c r="R900">
        <v>2</v>
      </c>
      <c r="S900">
        <v>5</v>
      </c>
      <c r="T900" t="s">
        <v>79</v>
      </c>
      <c r="U900" t="s">
        <v>105</v>
      </c>
      <c r="V900" t="s">
        <v>96</v>
      </c>
      <c r="W900" s="3">
        <v>45364</v>
      </c>
      <c r="X900" t="b">
        <v>0</v>
      </c>
      <c r="Y900" t="b">
        <v>1</v>
      </c>
      <c r="Z900" t="s">
        <v>82</v>
      </c>
      <c r="AA900" t="s">
        <v>71</v>
      </c>
      <c r="AB900">
        <v>4</v>
      </c>
      <c r="AO900" t="str">
        <f t="shared" si="45"/>
        <v>18-25</v>
      </c>
      <c r="BD900">
        <v>7</v>
      </c>
      <c r="BF900" cm="1">
        <f t="array" ref="BF900">CORREL(J900:J1900,S900:S1900)</f>
        <v>0.036023808724701</v>
      </c>
      <c r="BH900">
        <v>5</v>
      </c>
      <c r="BI900">
        <f t="shared" si="46"/>
        <v>1.4</v>
      </c>
      <c r="BJ900">
        <f t="shared" si="47"/>
        <v>3.57142857142857</v>
      </c>
    </row>
    <row r="901" spans="1:62">
      <c r="A901" s="1">
        <v>740331145</v>
      </c>
      <c r="B901">
        <v>27</v>
      </c>
      <c r="C901" t="s">
        <v>188</v>
      </c>
      <c r="D901" t="s">
        <v>74</v>
      </c>
      <c r="E901" t="s">
        <v>98</v>
      </c>
      <c r="F901" t="s">
        <v>62</v>
      </c>
      <c r="G901" t="s">
        <v>60</v>
      </c>
      <c r="H901" t="s">
        <v>1092</v>
      </c>
      <c r="I901" t="s">
        <v>209</v>
      </c>
      <c r="J901" s="2">
        <v>489.66</v>
      </c>
      <c r="K901">
        <v>11</v>
      </c>
      <c r="L901" t="s">
        <v>65</v>
      </c>
      <c r="M901">
        <v>5</v>
      </c>
      <c r="N901">
        <v>1</v>
      </c>
      <c r="O901">
        <v>0</v>
      </c>
      <c r="P901" t="s">
        <v>74</v>
      </c>
      <c r="Q901" t="s">
        <v>80</v>
      </c>
      <c r="R901">
        <v>2</v>
      </c>
      <c r="S901">
        <v>6</v>
      </c>
      <c r="T901" t="s">
        <v>66</v>
      </c>
      <c r="U901" t="s">
        <v>68</v>
      </c>
      <c r="V901" t="s">
        <v>96</v>
      </c>
      <c r="W901" s="3">
        <v>45309</v>
      </c>
      <c r="X901" t="b">
        <v>1</v>
      </c>
      <c r="Y901" t="b">
        <v>0</v>
      </c>
      <c r="Z901" t="s">
        <v>82</v>
      </c>
      <c r="AA901" t="s">
        <v>83</v>
      </c>
      <c r="AB901">
        <v>3</v>
      </c>
      <c r="AO901" t="str">
        <f t="shared" si="45"/>
        <v>26-40</v>
      </c>
      <c r="BD901">
        <v>11</v>
      </c>
      <c r="BF901" cm="1">
        <f t="array" ref="BF901">CORREL(J901:J1901,S901:S1901)</f>
        <v>0.0348326299977913</v>
      </c>
      <c r="BH901">
        <v>6</v>
      </c>
      <c r="BI901">
        <f t="shared" si="46"/>
        <v>1.83333333333333</v>
      </c>
      <c r="BJ901">
        <f t="shared" si="47"/>
        <v>3.27272727272727</v>
      </c>
    </row>
    <row r="902" spans="1:62">
      <c r="A902" s="1">
        <v>242726205</v>
      </c>
      <c r="B902">
        <v>39</v>
      </c>
      <c r="C902" t="s">
        <v>224</v>
      </c>
      <c r="D902" t="s">
        <v>74</v>
      </c>
      <c r="E902" t="s">
        <v>103</v>
      </c>
      <c r="F902" t="s">
        <v>87</v>
      </c>
      <c r="G902" t="s">
        <v>74</v>
      </c>
      <c r="H902" t="s">
        <v>1093</v>
      </c>
      <c r="I902" t="s">
        <v>129</v>
      </c>
      <c r="J902" s="2">
        <v>161.85</v>
      </c>
      <c r="K902">
        <v>9</v>
      </c>
      <c r="L902" t="s">
        <v>78</v>
      </c>
      <c r="M902">
        <v>5</v>
      </c>
      <c r="N902">
        <v>3</v>
      </c>
      <c r="O902">
        <v>0</v>
      </c>
      <c r="P902" t="s">
        <v>74</v>
      </c>
      <c r="Q902" t="s">
        <v>109</v>
      </c>
      <c r="R902">
        <v>0</v>
      </c>
      <c r="S902">
        <v>4</v>
      </c>
      <c r="T902" t="s">
        <v>79</v>
      </c>
      <c r="U902" t="s">
        <v>90</v>
      </c>
      <c r="V902" t="s">
        <v>96</v>
      </c>
      <c r="W902" s="3">
        <v>45407</v>
      </c>
      <c r="X902" t="b">
        <v>1</v>
      </c>
      <c r="Y902" t="b">
        <v>0</v>
      </c>
      <c r="Z902" t="s">
        <v>70</v>
      </c>
      <c r="AA902" t="s">
        <v>71</v>
      </c>
      <c r="AB902">
        <v>10</v>
      </c>
      <c r="AO902" t="str">
        <f t="shared" si="45"/>
        <v>26-40</v>
      </c>
      <c r="BD902">
        <v>9</v>
      </c>
      <c r="BF902" cm="1">
        <f t="array" ref="BF902">CORREL(J902:J1902,S902:S1902)</f>
        <v>0.0314002852188992</v>
      </c>
      <c r="BH902">
        <v>4</v>
      </c>
      <c r="BI902">
        <f t="shared" si="46"/>
        <v>2.25</v>
      </c>
      <c r="BJ902">
        <f t="shared" si="47"/>
        <v>1.77777777777778</v>
      </c>
    </row>
    <row r="903" spans="1:62">
      <c r="A903" s="1">
        <v>901701951</v>
      </c>
      <c r="B903">
        <v>34</v>
      </c>
      <c r="C903" t="s">
        <v>73</v>
      </c>
      <c r="D903" t="s">
        <v>60</v>
      </c>
      <c r="E903" t="s">
        <v>98</v>
      </c>
      <c r="F903" t="s">
        <v>87</v>
      </c>
      <c r="G903" t="s">
        <v>74</v>
      </c>
      <c r="H903" t="s">
        <v>1094</v>
      </c>
      <c r="I903" t="s">
        <v>131</v>
      </c>
      <c r="J903" s="2">
        <v>204.47</v>
      </c>
      <c r="K903">
        <v>7</v>
      </c>
      <c r="L903" t="s">
        <v>85</v>
      </c>
      <c r="M903">
        <v>2</v>
      </c>
      <c r="N903">
        <v>1</v>
      </c>
      <c r="O903">
        <v>1</v>
      </c>
      <c r="P903" t="s">
        <v>66</v>
      </c>
      <c r="Q903" t="s">
        <v>109</v>
      </c>
      <c r="R903">
        <v>2</v>
      </c>
      <c r="S903">
        <v>9</v>
      </c>
      <c r="T903" t="s">
        <v>66</v>
      </c>
      <c r="U903" t="s">
        <v>90</v>
      </c>
      <c r="V903" t="s">
        <v>69</v>
      </c>
      <c r="W903" s="3">
        <v>45519</v>
      </c>
      <c r="X903" t="b">
        <v>1</v>
      </c>
      <c r="Y903" t="b">
        <v>1</v>
      </c>
      <c r="Z903" t="s">
        <v>82</v>
      </c>
      <c r="AA903" t="s">
        <v>71</v>
      </c>
      <c r="AB903">
        <v>3</v>
      </c>
      <c r="AO903" t="str">
        <f t="shared" si="45"/>
        <v>26-40</v>
      </c>
      <c r="BD903">
        <v>7</v>
      </c>
      <c r="BF903" cm="1">
        <f t="array" ref="BF903">CORREL(J903:J1903,S903:S1903)</f>
        <v>0.0262290222478806</v>
      </c>
      <c r="BH903">
        <v>9</v>
      </c>
      <c r="BI903">
        <f t="shared" ref="BI903:BI934" si="48">K903/S903</f>
        <v>0.777777777777778</v>
      </c>
      <c r="BJ903">
        <f t="shared" si="47"/>
        <v>11.5714285714286</v>
      </c>
    </row>
    <row r="904" spans="1:62">
      <c r="A904" s="1">
        <v>732598940</v>
      </c>
      <c r="B904">
        <v>34</v>
      </c>
      <c r="C904" t="s">
        <v>59</v>
      </c>
      <c r="D904" t="s">
        <v>60</v>
      </c>
      <c r="E904" t="s">
        <v>98</v>
      </c>
      <c r="F904" t="s">
        <v>62</v>
      </c>
      <c r="G904" t="s">
        <v>60</v>
      </c>
      <c r="H904" t="s">
        <v>1095</v>
      </c>
      <c r="I904" t="s">
        <v>124</v>
      </c>
      <c r="J904" s="2">
        <v>315.03</v>
      </c>
      <c r="K904">
        <v>4</v>
      </c>
      <c r="L904" t="s">
        <v>85</v>
      </c>
      <c r="M904">
        <v>1</v>
      </c>
      <c r="N904">
        <v>5</v>
      </c>
      <c r="O904">
        <v>0</v>
      </c>
      <c r="P904" t="s">
        <v>74</v>
      </c>
      <c r="Q904" t="s">
        <v>109</v>
      </c>
      <c r="R904">
        <v>1</v>
      </c>
      <c r="S904">
        <v>6</v>
      </c>
      <c r="T904" t="s">
        <v>84</v>
      </c>
      <c r="U904" t="s">
        <v>68</v>
      </c>
      <c r="V904" t="s">
        <v>81</v>
      </c>
      <c r="W904" s="3">
        <v>45606</v>
      </c>
      <c r="X904" t="b">
        <v>1</v>
      </c>
      <c r="Y904" t="b">
        <v>0</v>
      </c>
      <c r="Z904" t="s">
        <v>102</v>
      </c>
      <c r="AA904" t="s">
        <v>97</v>
      </c>
      <c r="AB904">
        <v>2</v>
      </c>
      <c r="AO904" t="str">
        <f t="shared" si="45"/>
        <v>26-40</v>
      </c>
      <c r="BD904">
        <v>4</v>
      </c>
      <c r="BF904" cm="1">
        <f t="array" ref="BF904">CORREL(J904:J1904,S904:S1904)</f>
        <v>0.0367195689319374</v>
      </c>
      <c r="BH904">
        <v>6</v>
      </c>
      <c r="BI904">
        <f t="shared" si="48"/>
        <v>0.666666666666667</v>
      </c>
      <c r="BJ904">
        <f t="shared" si="47"/>
        <v>9</v>
      </c>
    </row>
    <row r="905" spans="1:62">
      <c r="A905" s="1">
        <v>777965786</v>
      </c>
      <c r="B905">
        <v>42</v>
      </c>
      <c r="C905" t="s">
        <v>73</v>
      </c>
      <c r="D905" t="s">
        <v>60</v>
      </c>
      <c r="E905" t="s">
        <v>86</v>
      </c>
      <c r="F905" t="s">
        <v>87</v>
      </c>
      <c r="G905" t="s">
        <v>74</v>
      </c>
      <c r="H905" t="s">
        <v>1096</v>
      </c>
      <c r="I905" t="s">
        <v>100</v>
      </c>
      <c r="J905" s="2">
        <v>330.36</v>
      </c>
      <c r="K905">
        <v>12</v>
      </c>
      <c r="L905" t="s">
        <v>78</v>
      </c>
      <c r="M905">
        <v>5</v>
      </c>
      <c r="N905">
        <v>5</v>
      </c>
      <c r="O905">
        <v>1</v>
      </c>
      <c r="P905" t="s">
        <v>84</v>
      </c>
      <c r="Q905" t="s">
        <v>109</v>
      </c>
      <c r="R905">
        <v>1</v>
      </c>
      <c r="S905">
        <v>4</v>
      </c>
      <c r="T905" t="s">
        <v>84</v>
      </c>
      <c r="U905" t="s">
        <v>68</v>
      </c>
      <c r="V905" t="s">
        <v>96</v>
      </c>
      <c r="W905" s="3">
        <v>45472</v>
      </c>
      <c r="X905" t="b">
        <v>1</v>
      </c>
      <c r="Y905" t="b">
        <v>1</v>
      </c>
      <c r="Z905" t="s">
        <v>70</v>
      </c>
      <c r="AA905" t="s">
        <v>71</v>
      </c>
      <c r="AB905">
        <v>3</v>
      </c>
      <c r="AO905" t="str">
        <f t="shared" si="45"/>
        <v>41-60</v>
      </c>
      <c r="BD905">
        <v>12</v>
      </c>
      <c r="BF905" cm="1">
        <f t="array" ref="BF905">CORREL(J905:J1905,S905:S1905)</f>
        <v>0.0363121091235431</v>
      </c>
      <c r="BH905">
        <v>4</v>
      </c>
      <c r="BI905">
        <f t="shared" si="48"/>
        <v>3</v>
      </c>
      <c r="BJ905">
        <f t="shared" si="47"/>
        <v>1.33333333333333</v>
      </c>
    </row>
    <row r="906" spans="1:62">
      <c r="A906" s="1">
        <v>239491954</v>
      </c>
      <c r="B906">
        <v>42</v>
      </c>
      <c r="C906" t="s">
        <v>73</v>
      </c>
      <c r="D906" t="s">
        <v>60</v>
      </c>
      <c r="E906" t="s">
        <v>86</v>
      </c>
      <c r="F906" t="s">
        <v>62</v>
      </c>
      <c r="G906" t="s">
        <v>60</v>
      </c>
      <c r="H906" t="s">
        <v>1097</v>
      </c>
      <c r="I906" t="s">
        <v>137</v>
      </c>
      <c r="J906" s="2">
        <v>456.83</v>
      </c>
      <c r="K906">
        <v>5</v>
      </c>
      <c r="L906" t="s">
        <v>85</v>
      </c>
      <c r="M906">
        <v>2</v>
      </c>
      <c r="N906">
        <v>5</v>
      </c>
      <c r="O906">
        <v>0</v>
      </c>
      <c r="P906" t="s">
        <v>66</v>
      </c>
      <c r="Q906" t="s">
        <v>80</v>
      </c>
      <c r="R906">
        <v>0</v>
      </c>
      <c r="S906">
        <v>9</v>
      </c>
      <c r="T906" t="s">
        <v>74</v>
      </c>
      <c r="U906" t="s">
        <v>68</v>
      </c>
      <c r="V906" t="s">
        <v>69</v>
      </c>
      <c r="W906" s="3">
        <v>45463</v>
      </c>
      <c r="X906" t="b">
        <v>0</v>
      </c>
      <c r="Y906" t="b">
        <v>0</v>
      </c>
      <c r="Z906" t="s">
        <v>70</v>
      </c>
      <c r="AA906" t="s">
        <v>71</v>
      </c>
      <c r="AB906">
        <v>13</v>
      </c>
      <c r="AO906" t="str">
        <f t="shared" si="45"/>
        <v>41-60</v>
      </c>
      <c r="BD906">
        <v>5</v>
      </c>
      <c r="BF906" cm="1">
        <f t="array" ref="BF906">CORREL(J906:J1906,S906:S1906)</f>
        <v>0.0378205971300385</v>
      </c>
      <c r="BH906">
        <v>9</v>
      </c>
      <c r="BI906">
        <f t="shared" si="48"/>
        <v>0.555555555555556</v>
      </c>
      <c r="BJ906">
        <f t="shared" si="47"/>
        <v>16.2</v>
      </c>
    </row>
    <row r="907" spans="1:62">
      <c r="A907" s="1">
        <v>513137293</v>
      </c>
      <c r="B907">
        <v>31</v>
      </c>
      <c r="C907" t="s">
        <v>73</v>
      </c>
      <c r="D907" t="s">
        <v>74</v>
      </c>
      <c r="E907" t="s">
        <v>98</v>
      </c>
      <c r="F907" t="s">
        <v>62</v>
      </c>
      <c r="G907" t="s">
        <v>74</v>
      </c>
      <c r="H907" t="s">
        <v>1098</v>
      </c>
      <c r="I907" t="s">
        <v>209</v>
      </c>
      <c r="J907" s="2">
        <v>236.05</v>
      </c>
      <c r="K907">
        <v>6</v>
      </c>
      <c r="L907" t="s">
        <v>78</v>
      </c>
      <c r="M907">
        <v>2</v>
      </c>
      <c r="N907">
        <v>3</v>
      </c>
      <c r="O907">
        <v>0</v>
      </c>
      <c r="P907" t="s">
        <v>66</v>
      </c>
      <c r="Q907" t="s">
        <v>109</v>
      </c>
      <c r="R907">
        <v>1</v>
      </c>
      <c r="S907">
        <v>4</v>
      </c>
      <c r="T907" t="s">
        <v>74</v>
      </c>
      <c r="U907" t="s">
        <v>105</v>
      </c>
      <c r="V907" t="s">
        <v>96</v>
      </c>
      <c r="W907" s="3">
        <v>45612</v>
      </c>
      <c r="X907" t="b">
        <v>0</v>
      </c>
      <c r="Y907" t="b">
        <v>1</v>
      </c>
      <c r="Z907" t="s">
        <v>70</v>
      </c>
      <c r="AA907" t="s">
        <v>71</v>
      </c>
      <c r="AB907">
        <v>13</v>
      </c>
      <c r="AO907" t="str">
        <f t="shared" si="45"/>
        <v>26-40</v>
      </c>
      <c r="BD907">
        <v>6</v>
      </c>
      <c r="BF907" cm="1">
        <f t="array" ref="BF907">CORREL(J907:J1907,S907:S1907)</f>
        <v>0.0195736786585555</v>
      </c>
      <c r="BH907">
        <v>4</v>
      </c>
      <c r="BI907">
        <f t="shared" si="48"/>
        <v>1.5</v>
      </c>
      <c r="BJ907">
        <f t="shared" si="47"/>
        <v>2.66666666666667</v>
      </c>
    </row>
    <row r="908" spans="1:62">
      <c r="A908" s="1">
        <v>627979254</v>
      </c>
      <c r="B908">
        <v>35</v>
      </c>
      <c r="C908" t="s">
        <v>59</v>
      </c>
      <c r="D908" t="s">
        <v>74</v>
      </c>
      <c r="E908" t="s">
        <v>98</v>
      </c>
      <c r="F908" t="s">
        <v>75</v>
      </c>
      <c r="G908" t="s">
        <v>74</v>
      </c>
      <c r="H908" t="s">
        <v>1099</v>
      </c>
      <c r="I908" t="s">
        <v>95</v>
      </c>
      <c r="J908" s="2">
        <v>289.28</v>
      </c>
      <c r="K908">
        <v>9</v>
      </c>
      <c r="L908" t="s">
        <v>85</v>
      </c>
      <c r="M908">
        <v>3</v>
      </c>
      <c r="N908">
        <v>5</v>
      </c>
      <c r="O908">
        <v>1</v>
      </c>
      <c r="P908" t="s">
        <v>74</v>
      </c>
      <c r="Q908" t="s">
        <v>67</v>
      </c>
      <c r="R908">
        <v>2</v>
      </c>
      <c r="S908">
        <v>7</v>
      </c>
      <c r="T908" t="s">
        <v>79</v>
      </c>
      <c r="U908" t="s">
        <v>68</v>
      </c>
      <c r="V908" t="s">
        <v>81</v>
      </c>
      <c r="W908" s="3">
        <v>45472</v>
      </c>
      <c r="X908" t="b">
        <v>0</v>
      </c>
      <c r="Y908" t="b">
        <v>1</v>
      </c>
      <c r="Z908" t="s">
        <v>82</v>
      </c>
      <c r="AA908" t="s">
        <v>97</v>
      </c>
      <c r="AB908">
        <v>13</v>
      </c>
      <c r="AO908" t="str">
        <f t="shared" si="45"/>
        <v>26-40</v>
      </c>
      <c r="BD908">
        <v>9</v>
      </c>
      <c r="BF908" cm="1">
        <f t="array" ref="BF908">CORREL(J908:J1908,S908:S1908)</f>
        <v>0.0172984262220818</v>
      </c>
      <c r="BH908">
        <v>7</v>
      </c>
      <c r="BI908">
        <f t="shared" si="48"/>
        <v>1.28571428571429</v>
      </c>
      <c r="BJ908">
        <f t="shared" si="47"/>
        <v>5.44444444444444</v>
      </c>
    </row>
    <row r="909" spans="1:62">
      <c r="A909" s="1">
        <v>279414995</v>
      </c>
      <c r="B909">
        <v>27</v>
      </c>
      <c r="C909" t="s">
        <v>59</v>
      </c>
      <c r="D909" t="s">
        <v>74</v>
      </c>
      <c r="E909" t="s">
        <v>61</v>
      </c>
      <c r="F909" t="s">
        <v>75</v>
      </c>
      <c r="G909" t="s">
        <v>60</v>
      </c>
      <c r="H909" t="s">
        <v>1100</v>
      </c>
      <c r="I909" t="s">
        <v>129</v>
      </c>
      <c r="J909" s="2">
        <v>483.77</v>
      </c>
      <c r="K909">
        <v>5</v>
      </c>
      <c r="L909" t="s">
        <v>78</v>
      </c>
      <c r="M909">
        <v>1</v>
      </c>
      <c r="N909">
        <v>2</v>
      </c>
      <c r="O909">
        <v>0</v>
      </c>
      <c r="P909" t="s">
        <v>66</v>
      </c>
      <c r="Q909" t="s">
        <v>109</v>
      </c>
      <c r="R909">
        <v>0</v>
      </c>
      <c r="S909">
        <v>5</v>
      </c>
      <c r="T909" t="s">
        <v>66</v>
      </c>
      <c r="U909" t="s">
        <v>105</v>
      </c>
      <c r="V909" t="s">
        <v>69</v>
      </c>
      <c r="W909" s="3">
        <v>45493</v>
      </c>
      <c r="X909" t="b">
        <v>0</v>
      </c>
      <c r="Y909" t="b">
        <v>0</v>
      </c>
      <c r="Z909" t="s">
        <v>82</v>
      </c>
      <c r="AA909" t="s">
        <v>71</v>
      </c>
      <c r="AB909">
        <v>10</v>
      </c>
      <c r="AO909" t="str">
        <f t="shared" si="45"/>
        <v>26-40</v>
      </c>
      <c r="BD909">
        <v>5</v>
      </c>
      <c r="BF909" cm="1">
        <f t="array" ref="BF909">CORREL(J909:J1909,S909:S1909)</f>
        <v>0.0175584570986954</v>
      </c>
      <c r="BH909">
        <v>5</v>
      </c>
      <c r="BI909">
        <f t="shared" si="48"/>
        <v>1</v>
      </c>
      <c r="BJ909">
        <f t="shared" si="47"/>
        <v>5</v>
      </c>
    </row>
    <row r="910" spans="1:62">
      <c r="A910" s="4" t="s">
        <v>1101</v>
      </c>
      <c r="B910">
        <v>45</v>
      </c>
      <c r="C910" t="s">
        <v>73</v>
      </c>
      <c r="D910" t="s">
        <v>60</v>
      </c>
      <c r="E910" t="s">
        <v>61</v>
      </c>
      <c r="F910" t="s">
        <v>75</v>
      </c>
      <c r="G910" t="s">
        <v>60</v>
      </c>
      <c r="H910" t="s">
        <v>1102</v>
      </c>
      <c r="I910" t="s">
        <v>100</v>
      </c>
      <c r="J910" s="2">
        <v>64.5</v>
      </c>
      <c r="K910">
        <v>7</v>
      </c>
      <c r="L910" t="s">
        <v>78</v>
      </c>
      <c r="M910">
        <v>3</v>
      </c>
      <c r="N910">
        <v>4</v>
      </c>
      <c r="O910">
        <v>1</v>
      </c>
      <c r="P910" t="s">
        <v>74</v>
      </c>
      <c r="Q910" t="s">
        <v>67</v>
      </c>
      <c r="R910">
        <v>1</v>
      </c>
      <c r="S910">
        <v>7</v>
      </c>
      <c r="T910" t="s">
        <v>74</v>
      </c>
      <c r="U910" t="s">
        <v>105</v>
      </c>
      <c r="V910" t="s">
        <v>69</v>
      </c>
      <c r="W910" s="3">
        <v>45501</v>
      </c>
      <c r="X910" t="b">
        <v>1</v>
      </c>
      <c r="Y910" t="b">
        <v>0</v>
      </c>
      <c r="Z910" t="s">
        <v>82</v>
      </c>
      <c r="AA910" t="s">
        <v>71</v>
      </c>
      <c r="AB910">
        <v>13</v>
      </c>
      <c r="AO910" t="str">
        <f t="shared" si="45"/>
        <v>41-60</v>
      </c>
      <c r="BD910">
        <v>7</v>
      </c>
      <c r="BF910" cm="1">
        <f t="array" ref="BF910">CORREL(J910:J1910,S910:S1910)</f>
        <v>0.0195072812783061</v>
      </c>
      <c r="BH910">
        <v>7</v>
      </c>
      <c r="BI910">
        <f t="shared" si="48"/>
        <v>1</v>
      </c>
      <c r="BJ910">
        <f t="shared" si="47"/>
        <v>7</v>
      </c>
    </row>
    <row r="911" spans="1:62">
      <c r="A911" s="1">
        <v>821330444</v>
      </c>
      <c r="B911">
        <v>43</v>
      </c>
      <c r="C911" t="s">
        <v>73</v>
      </c>
      <c r="D911" t="s">
        <v>74</v>
      </c>
      <c r="E911" t="s">
        <v>61</v>
      </c>
      <c r="F911" t="s">
        <v>62</v>
      </c>
      <c r="G911" t="s">
        <v>60</v>
      </c>
      <c r="H911" t="s">
        <v>1103</v>
      </c>
      <c r="I911" t="s">
        <v>156</v>
      </c>
      <c r="J911" s="2">
        <v>436.57</v>
      </c>
      <c r="K911">
        <v>4</v>
      </c>
      <c r="L911" t="s">
        <v>65</v>
      </c>
      <c r="M911">
        <v>5</v>
      </c>
      <c r="N911">
        <v>3</v>
      </c>
      <c r="O911">
        <v>1</v>
      </c>
      <c r="P911" t="s">
        <v>74</v>
      </c>
      <c r="Q911" t="s">
        <v>80</v>
      </c>
      <c r="R911">
        <v>2</v>
      </c>
      <c r="S911">
        <v>10</v>
      </c>
      <c r="T911" t="s">
        <v>84</v>
      </c>
      <c r="U911" t="s">
        <v>105</v>
      </c>
      <c r="V911" t="s">
        <v>91</v>
      </c>
      <c r="W911" s="3">
        <v>45324</v>
      </c>
      <c r="X911" t="b">
        <v>0</v>
      </c>
      <c r="Y911" t="b">
        <v>0</v>
      </c>
      <c r="Z911" t="s">
        <v>82</v>
      </c>
      <c r="AA911" t="s">
        <v>83</v>
      </c>
      <c r="AB911">
        <v>3</v>
      </c>
      <c r="AO911" t="str">
        <f t="shared" si="45"/>
        <v>41-60</v>
      </c>
      <c r="BD911">
        <v>4</v>
      </c>
      <c r="BF911" cm="1">
        <f t="array" ref="BF911">CORREL(J911:J1911,S911:S1911)</f>
        <v>0.032789681096818</v>
      </c>
      <c r="BH911">
        <v>10</v>
      </c>
      <c r="BI911">
        <f t="shared" si="48"/>
        <v>0.4</v>
      </c>
      <c r="BJ911">
        <f t="shared" si="47"/>
        <v>25</v>
      </c>
    </row>
    <row r="912" spans="1:62">
      <c r="A912" s="1">
        <v>439209499</v>
      </c>
      <c r="B912">
        <v>35</v>
      </c>
      <c r="C912" t="s">
        <v>111</v>
      </c>
      <c r="D912" t="s">
        <v>60</v>
      </c>
      <c r="E912" t="s">
        <v>98</v>
      </c>
      <c r="F912" t="s">
        <v>75</v>
      </c>
      <c r="G912" t="s">
        <v>60</v>
      </c>
      <c r="H912" t="s">
        <v>1104</v>
      </c>
      <c r="I912" t="s">
        <v>77</v>
      </c>
      <c r="J912" s="2">
        <v>364.48</v>
      </c>
      <c r="K912">
        <v>2</v>
      </c>
      <c r="L912" t="s">
        <v>65</v>
      </c>
      <c r="M912">
        <v>3</v>
      </c>
      <c r="N912">
        <v>3</v>
      </c>
      <c r="O912">
        <v>0.2</v>
      </c>
      <c r="P912" t="s">
        <v>66</v>
      </c>
      <c r="Q912" t="s">
        <v>109</v>
      </c>
      <c r="R912">
        <v>2</v>
      </c>
      <c r="S912">
        <v>5</v>
      </c>
      <c r="T912" t="s">
        <v>66</v>
      </c>
      <c r="U912" t="s">
        <v>90</v>
      </c>
      <c r="V912" t="s">
        <v>96</v>
      </c>
      <c r="W912" s="3">
        <v>45561</v>
      </c>
      <c r="X912" t="b">
        <v>0</v>
      </c>
      <c r="Y912" t="b">
        <v>0</v>
      </c>
      <c r="Z912" t="s">
        <v>102</v>
      </c>
      <c r="AA912" t="s">
        <v>71</v>
      </c>
      <c r="AB912">
        <v>13</v>
      </c>
      <c r="AO912" t="str">
        <f t="shared" si="45"/>
        <v>26-40</v>
      </c>
      <c r="BD912">
        <v>2</v>
      </c>
      <c r="BF912" cm="1">
        <f t="array" ref="BF912">CORREL(J912:J1912,S912:S1912)</f>
        <v>0.0107210222338759</v>
      </c>
      <c r="BH912">
        <v>5</v>
      </c>
      <c r="BI912">
        <f t="shared" si="48"/>
        <v>0.4</v>
      </c>
      <c r="BJ912">
        <f t="shared" si="47"/>
        <v>12.5</v>
      </c>
    </row>
    <row r="913" spans="1:62">
      <c r="A913" s="1">
        <v>175519779</v>
      </c>
      <c r="B913">
        <v>33</v>
      </c>
      <c r="C913" t="s">
        <v>59</v>
      </c>
      <c r="D913" t="s">
        <v>60</v>
      </c>
      <c r="E913" t="s">
        <v>98</v>
      </c>
      <c r="F913" t="s">
        <v>87</v>
      </c>
      <c r="G913" t="s">
        <v>74</v>
      </c>
      <c r="H913" t="s">
        <v>1105</v>
      </c>
      <c r="I913" t="s">
        <v>174</v>
      </c>
      <c r="J913" s="2">
        <v>221.88</v>
      </c>
      <c r="K913">
        <v>12</v>
      </c>
      <c r="L913" t="s">
        <v>78</v>
      </c>
      <c r="M913">
        <v>1</v>
      </c>
      <c r="N913">
        <v>4</v>
      </c>
      <c r="O913">
        <v>2</v>
      </c>
      <c r="P913" t="s">
        <v>84</v>
      </c>
      <c r="Q913" t="s">
        <v>67</v>
      </c>
      <c r="R913">
        <v>1</v>
      </c>
      <c r="S913">
        <v>6</v>
      </c>
      <c r="T913" t="s">
        <v>66</v>
      </c>
      <c r="U913" t="s">
        <v>105</v>
      </c>
      <c r="V913" t="s">
        <v>96</v>
      </c>
      <c r="W913" s="3">
        <v>45386</v>
      </c>
      <c r="X913" t="b">
        <v>1</v>
      </c>
      <c r="Y913" t="b">
        <v>0</v>
      </c>
      <c r="Z913" t="s">
        <v>70</v>
      </c>
      <c r="AA913" t="s">
        <v>97</v>
      </c>
      <c r="AB913">
        <v>9</v>
      </c>
      <c r="AO913" t="str">
        <f t="shared" si="45"/>
        <v>26-40</v>
      </c>
      <c r="BD913">
        <v>12</v>
      </c>
      <c r="BF913" cm="1">
        <f t="array" ref="BF913">CORREL(J913:J1913,S913:S1913)</f>
        <v>0.0112596383484036</v>
      </c>
      <c r="BH913">
        <v>6</v>
      </c>
      <c r="BI913">
        <f t="shared" si="48"/>
        <v>2</v>
      </c>
      <c r="BJ913">
        <f t="shared" si="47"/>
        <v>3</v>
      </c>
    </row>
    <row r="914" spans="1:62">
      <c r="A914" s="1">
        <v>490372300</v>
      </c>
      <c r="B914">
        <v>31</v>
      </c>
      <c r="C914" t="s">
        <v>59</v>
      </c>
      <c r="D914" t="s">
        <v>60</v>
      </c>
      <c r="E914" t="s">
        <v>86</v>
      </c>
      <c r="F914" t="s">
        <v>75</v>
      </c>
      <c r="G914" t="s">
        <v>60</v>
      </c>
      <c r="H914" t="s">
        <v>1106</v>
      </c>
      <c r="I914" t="s">
        <v>171</v>
      </c>
      <c r="J914" s="2">
        <v>278.21</v>
      </c>
      <c r="K914">
        <v>3</v>
      </c>
      <c r="L914" t="s">
        <v>65</v>
      </c>
      <c r="M914">
        <v>5</v>
      </c>
      <c r="N914">
        <v>1</v>
      </c>
      <c r="O914">
        <v>2</v>
      </c>
      <c r="P914" t="s">
        <v>84</v>
      </c>
      <c r="Q914" t="s">
        <v>67</v>
      </c>
      <c r="R914">
        <v>0</v>
      </c>
      <c r="S914">
        <v>7</v>
      </c>
      <c r="T914" t="s">
        <v>84</v>
      </c>
      <c r="U914" t="s">
        <v>68</v>
      </c>
      <c r="V914" t="s">
        <v>96</v>
      </c>
      <c r="W914" s="3">
        <v>45587</v>
      </c>
      <c r="X914" t="b">
        <v>1</v>
      </c>
      <c r="Y914" t="b">
        <v>0</v>
      </c>
      <c r="Z914" t="s">
        <v>70</v>
      </c>
      <c r="AA914" t="s">
        <v>71</v>
      </c>
      <c r="AB914">
        <v>14</v>
      </c>
      <c r="AO914" t="str">
        <f t="shared" si="45"/>
        <v>26-40</v>
      </c>
      <c r="BD914">
        <v>3</v>
      </c>
      <c r="BF914" cm="1">
        <f t="array" ref="BF914">CORREL(J914:J1914,S914:S1914)</f>
        <v>0.0131465871035628</v>
      </c>
      <c r="BH914">
        <v>7</v>
      </c>
      <c r="BI914">
        <f t="shared" si="48"/>
        <v>0.428571428571429</v>
      </c>
      <c r="BJ914">
        <f t="shared" si="47"/>
        <v>16.3333333333333</v>
      </c>
    </row>
    <row r="915" spans="1:62">
      <c r="A915" s="1">
        <v>958769757</v>
      </c>
      <c r="B915">
        <v>31</v>
      </c>
      <c r="C915" t="s">
        <v>59</v>
      </c>
      <c r="D915" t="s">
        <v>74</v>
      </c>
      <c r="E915" t="s">
        <v>61</v>
      </c>
      <c r="F915" t="s">
        <v>87</v>
      </c>
      <c r="G915" t="s">
        <v>74</v>
      </c>
      <c r="H915" t="s">
        <v>1107</v>
      </c>
      <c r="I915" t="s">
        <v>147</v>
      </c>
      <c r="J915" s="2">
        <v>344.43</v>
      </c>
      <c r="K915">
        <v>7</v>
      </c>
      <c r="L915" t="s">
        <v>85</v>
      </c>
      <c r="M915">
        <v>3</v>
      </c>
      <c r="N915">
        <v>5</v>
      </c>
      <c r="O915">
        <v>0</v>
      </c>
      <c r="P915" t="s">
        <v>79</v>
      </c>
      <c r="Q915" t="s">
        <v>80</v>
      </c>
      <c r="R915">
        <v>2</v>
      </c>
      <c r="S915">
        <v>4</v>
      </c>
      <c r="T915" t="s">
        <v>79</v>
      </c>
      <c r="U915" t="s">
        <v>105</v>
      </c>
      <c r="V915" t="s">
        <v>69</v>
      </c>
      <c r="W915" s="3">
        <v>45485</v>
      </c>
      <c r="X915" t="b">
        <v>1</v>
      </c>
      <c r="Y915" t="b">
        <v>0</v>
      </c>
      <c r="Z915" t="s">
        <v>92</v>
      </c>
      <c r="AA915" t="s">
        <v>83</v>
      </c>
      <c r="AB915">
        <v>5</v>
      </c>
      <c r="AO915" t="str">
        <f t="shared" si="45"/>
        <v>26-40</v>
      </c>
      <c r="BD915">
        <v>7</v>
      </c>
      <c r="BF915" cm="1">
        <f t="array" ref="BF915">CORREL(J915:J1915,S915:S1915)</f>
        <v>0.0140395164195713</v>
      </c>
      <c r="BH915">
        <v>4</v>
      </c>
      <c r="BI915">
        <f t="shared" si="48"/>
        <v>1.75</v>
      </c>
      <c r="BJ915">
        <f t="shared" si="47"/>
        <v>2.28571428571429</v>
      </c>
    </row>
    <row r="916" spans="1:62">
      <c r="A916" s="1">
        <v>479474888</v>
      </c>
      <c r="B916">
        <v>26</v>
      </c>
      <c r="C916" t="s">
        <v>73</v>
      </c>
      <c r="D916" t="s">
        <v>74</v>
      </c>
      <c r="E916" t="s">
        <v>86</v>
      </c>
      <c r="F916" t="s">
        <v>87</v>
      </c>
      <c r="G916" t="s">
        <v>74</v>
      </c>
      <c r="H916" t="s">
        <v>1108</v>
      </c>
      <c r="I916" t="s">
        <v>135</v>
      </c>
      <c r="J916" s="2">
        <v>326.08</v>
      </c>
      <c r="K916">
        <v>11</v>
      </c>
      <c r="L916" t="s">
        <v>78</v>
      </c>
      <c r="M916">
        <v>4</v>
      </c>
      <c r="N916">
        <v>3</v>
      </c>
      <c r="O916">
        <v>2</v>
      </c>
      <c r="P916" t="s">
        <v>79</v>
      </c>
      <c r="Q916" t="s">
        <v>80</v>
      </c>
      <c r="R916">
        <v>2</v>
      </c>
      <c r="S916">
        <v>6</v>
      </c>
      <c r="T916" t="s">
        <v>79</v>
      </c>
      <c r="U916" t="s">
        <v>68</v>
      </c>
      <c r="V916" t="s">
        <v>81</v>
      </c>
      <c r="W916" s="3">
        <v>45473</v>
      </c>
      <c r="X916" t="b">
        <v>1</v>
      </c>
      <c r="Y916" t="b">
        <v>1</v>
      </c>
      <c r="Z916" t="s">
        <v>92</v>
      </c>
      <c r="AA916" t="s">
        <v>97</v>
      </c>
      <c r="AB916">
        <v>8</v>
      </c>
      <c r="AO916" t="str">
        <f t="shared" si="45"/>
        <v>26-40</v>
      </c>
      <c r="BD916">
        <v>11</v>
      </c>
      <c r="BF916" cm="1">
        <f t="array" ref="BF916">CORREL(J916:J1916,S916:S1916)</f>
        <v>0.0161730047744205</v>
      </c>
      <c r="BH916">
        <v>6</v>
      </c>
      <c r="BI916">
        <f t="shared" si="48"/>
        <v>1.83333333333333</v>
      </c>
      <c r="BJ916">
        <f t="shared" si="47"/>
        <v>3.27272727272727</v>
      </c>
    </row>
    <row r="917" spans="1:62">
      <c r="A917" s="1">
        <v>830032165</v>
      </c>
      <c r="B917">
        <v>49</v>
      </c>
      <c r="C917" t="s">
        <v>73</v>
      </c>
      <c r="D917" t="s">
        <v>74</v>
      </c>
      <c r="E917" t="s">
        <v>61</v>
      </c>
      <c r="F917" t="s">
        <v>62</v>
      </c>
      <c r="G917" t="s">
        <v>60</v>
      </c>
      <c r="H917" t="s">
        <v>226</v>
      </c>
      <c r="I917" t="s">
        <v>64</v>
      </c>
      <c r="J917" s="2">
        <v>437.97</v>
      </c>
      <c r="K917">
        <v>8</v>
      </c>
      <c r="L917" t="s">
        <v>85</v>
      </c>
      <c r="M917">
        <v>4</v>
      </c>
      <c r="N917">
        <v>2</v>
      </c>
      <c r="O917">
        <v>0</v>
      </c>
      <c r="P917" t="s">
        <v>74</v>
      </c>
      <c r="Q917" t="s">
        <v>80</v>
      </c>
      <c r="R917">
        <v>0</v>
      </c>
      <c r="S917">
        <v>7</v>
      </c>
      <c r="T917" t="s">
        <v>79</v>
      </c>
      <c r="U917" t="s">
        <v>68</v>
      </c>
      <c r="V917" t="s">
        <v>91</v>
      </c>
      <c r="W917" s="3">
        <v>45384</v>
      </c>
      <c r="X917" t="b">
        <v>1</v>
      </c>
      <c r="Y917" t="b">
        <v>1</v>
      </c>
      <c r="Z917" t="s">
        <v>70</v>
      </c>
      <c r="AA917" t="s">
        <v>97</v>
      </c>
      <c r="AB917">
        <v>12</v>
      </c>
      <c r="AO917" t="str">
        <f t="shared" si="45"/>
        <v>41-60</v>
      </c>
      <c r="BD917">
        <v>8</v>
      </c>
      <c r="BF917" cm="1">
        <f t="array" ref="BF917">CORREL(J917:J1917,S917:S1917)</f>
        <v>0.0152478416004904</v>
      </c>
      <c r="BH917">
        <v>7</v>
      </c>
      <c r="BI917">
        <f t="shared" si="48"/>
        <v>1.14285714285714</v>
      </c>
      <c r="BJ917">
        <f t="shared" si="47"/>
        <v>6.125</v>
      </c>
    </row>
    <row r="918" spans="1:62">
      <c r="A918" s="1">
        <v>276199264</v>
      </c>
      <c r="B918">
        <v>23</v>
      </c>
      <c r="C918" t="s">
        <v>73</v>
      </c>
      <c r="D918" t="s">
        <v>74</v>
      </c>
      <c r="E918" t="s">
        <v>86</v>
      </c>
      <c r="F918" t="s">
        <v>87</v>
      </c>
      <c r="G918" t="s">
        <v>74</v>
      </c>
      <c r="H918" t="s">
        <v>536</v>
      </c>
      <c r="I918" t="s">
        <v>129</v>
      </c>
      <c r="J918" s="2">
        <v>391.87</v>
      </c>
      <c r="K918">
        <v>3</v>
      </c>
      <c r="L918" t="s">
        <v>85</v>
      </c>
      <c r="M918">
        <v>1</v>
      </c>
      <c r="N918">
        <v>4</v>
      </c>
      <c r="O918">
        <v>2</v>
      </c>
      <c r="P918" t="s">
        <v>74</v>
      </c>
      <c r="Q918" t="s">
        <v>109</v>
      </c>
      <c r="R918">
        <v>0</v>
      </c>
      <c r="S918">
        <v>2</v>
      </c>
      <c r="T918" t="s">
        <v>79</v>
      </c>
      <c r="U918" t="s">
        <v>105</v>
      </c>
      <c r="V918" t="s">
        <v>110</v>
      </c>
      <c r="W918" s="3">
        <v>45338</v>
      </c>
      <c r="X918" t="b">
        <v>1</v>
      </c>
      <c r="Y918" t="b">
        <v>0</v>
      </c>
      <c r="Z918" t="s">
        <v>102</v>
      </c>
      <c r="AA918" t="s">
        <v>83</v>
      </c>
      <c r="AB918">
        <v>6</v>
      </c>
      <c r="AO918" t="str">
        <f t="shared" si="45"/>
        <v>18-25</v>
      </c>
      <c r="BD918">
        <v>3</v>
      </c>
      <c r="BF918" cm="1">
        <f t="array" ref="BF918">CORREL(J918:J1918,S918:S1918)</f>
        <v>0.00623132053471155</v>
      </c>
      <c r="BH918">
        <v>2</v>
      </c>
      <c r="BI918">
        <f t="shared" si="48"/>
        <v>1.5</v>
      </c>
      <c r="BJ918">
        <f t="shared" si="47"/>
        <v>1.33333333333333</v>
      </c>
    </row>
    <row r="919" spans="1:62">
      <c r="A919" s="1">
        <v>494761729</v>
      </c>
      <c r="B919">
        <v>42</v>
      </c>
      <c r="C919" t="s">
        <v>73</v>
      </c>
      <c r="D919" t="s">
        <v>74</v>
      </c>
      <c r="E919" t="s">
        <v>86</v>
      </c>
      <c r="F919" t="s">
        <v>87</v>
      </c>
      <c r="G919" t="s">
        <v>60</v>
      </c>
      <c r="H919" t="s">
        <v>1109</v>
      </c>
      <c r="I919" t="s">
        <v>178</v>
      </c>
      <c r="J919" s="2">
        <v>333.41</v>
      </c>
      <c r="K919">
        <v>3</v>
      </c>
      <c r="L919" t="s">
        <v>85</v>
      </c>
      <c r="M919">
        <v>2</v>
      </c>
      <c r="N919">
        <v>5</v>
      </c>
      <c r="O919">
        <v>1</v>
      </c>
      <c r="P919" t="s">
        <v>74</v>
      </c>
      <c r="Q919" t="s">
        <v>109</v>
      </c>
      <c r="R919">
        <v>1</v>
      </c>
      <c r="S919">
        <v>6</v>
      </c>
      <c r="T919" t="s">
        <v>66</v>
      </c>
      <c r="U919" t="s">
        <v>68</v>
      </c>
      <c r="V919" t="s">
        <v>81</v>
      </c>
      <c r="W919" s="3">
        <v>45322</v>
      </c>
      <c r="X919" t="b">
        <v>0</v>
      </c>
      <c r="Y919" t="b">
        <v>0</v>
      </c>
      <c r="Z919" t="s">
        <v>102</v>
      </c>
      <c r="AA919" t="s">
        <v>83</v>
      </c>
      <c r="AB919">
        <v>3</v>
      </c>
      <c r="AO919" t="str">
        <f t="shared" si="45"/>
        <v>41-60</v>
      </c>
      <c r="BD919">
        <v>3</v>
      </c>
      <c r="BF919" cm="1">
        <f t="array" ref="BF919">CORREL(J919:J1919,S919:S1919)</f>
        <v>0.0176324883507628</v>
      </c>
      <c r="BH919">
        <v>6</v>
      </c>
      <c r="BI919">
        <f t="shared" si="48"/>
        <v>0.5</v>
      </c>
      <c r="BJ919">
        <f t="shared" si="47"/>
        <v>12</v>
      </c>
    </row>
    <row r="920" spans="1:62">
      <c r="A920" s="1">
        <v>648037087</v>
      </c>
      <c r="B920">
        <v>32</v>
      </c>
      <c r="C920" t="s">
        <v>73</v>
      </c>
      <c r="D920" t="s">
        <v>60</v>
      </c>
      <c r="E920" t="s">
        <v>86</v>
      </c>
      <c r="F920" t="s">
        <v>62</v>
      </c>
      <c r="G920" t="s">
        <v>74</v>
      </c>
      <c r="H920" t="s">
        <v>1110</v>
      </c>
      <c r="I920" t="s">
        <v>156</v>
      </c>
      <c r="J920" s="2">
        <v>251.54</v>
      </c>
      <c r="K920">
        <v>9</v>
      </c>
      <c r="L920" t="s">
        <v>85</v>
      </c>
      <c r="M920">
        <v>5</v>
      </c>
      <c r="N920">
        <v>1</v>
      </c>
      <c r="O920">
        <v>0</v>
      </c>
      <c r="P920" t="s">
        <v>74</v>
      </c>
      <c r="Q920" t="s">
        <v>80</v>
      </c>
      <c r="R920">
        <v>2</v>
      </c>
      <c r="S920">
        <v>10</v>
      </c>
      <c r="T920" t="s">
        <v>84</v>
      </c>
      <c r="U920" t="s">
        <v>105</v>
      </c>
      <c r="V920" t="s">
        <v>81</v>
      </c>
      <c r="W920" s="3">
        <v>45574</v>
      </c>
      <c r="X920" t="b">
        <v>1</v>
      </c>
      <c r="Y920" t="b">
        <v>0</v>
      </c>
      <c r="Z920" t="s">
        <v>92</v>
      </c>
      <c r="AA920" t="s">
        <v>71</v>
      </c>
      <c r="AB920">
        <v>1</v>
      </c>
      <c r="AO920" t="str">
        <f t="shared" si="45"/>
        <v>26-40</v>
      </c>
      <c r="BD920">
        <v>9</v>
      </c>
      <c r="BF920" cm="1">
        <f t="array" ref="BF920">CORREL(J920:J1920,S920:S1920)</f>
        <v>0.0164017623037761</v>
      </c>
      <c r="BH920">
        <v>10</v>
      </c>
      <c r="BI920">
        <f t="shared" si="48"/>
        <v>0.9</v>
      </c>
      <c r="BJ920">
        <f t="shared" si="47"/>
        <v>11.1111111111111</v>
      </c>
    </row>
    <row r="921" spans="1:62">
      <c r="A921" s="4" t="s">
        <v>1111</v>
      </c>
      <c r="B921">
        <v>37</v>
      </c>
      <c r="C921" t="s">
        <v>59</v>
      </c>
      <c r="D921" t="s">
        <v>60</v>
      </c>
      <c r="E921" t="s">
        <v>86</v>
      </c>
      <c r="F921" t="s">
        <v>75</v>
      </c>
      <c r="G921" t="s">
        <v>60</v>
      </c>
      <c r="H921" t="s">
        <v>1112</v>
      </c>
      <c r="I921" t="s">
        <v>131</v>
      </c>
      <c r="J921" s="2">
        <v>292.08</v>
      </c>
      <c r="K921">
        <v>7</v>
      </c>
      <c r="L921" t="s">
        <v>78</v>
      </c>
      <c r="M921">
        <v>3</v>
      </c>
      <c r="N921">
        <v>2</v>
      </c>
      <c r="O921">
        <v>1</v>
      </c>
      <c r="P921" t="s">
        <v>74</v>
      </c>
      <c r="Q921" t="s">
        <v>67</v>
      </c>
      <c r="R921">
        <v>2</v>
      </c>
      <c r="S921">
        <v>9</v>
      </c>
      <c r="T921" t="s">
        <v>84</v>
      </c>
      <c r="U921" t="s">
        <v>90</v>
      </c>
      <c r="V921" t="s">
        <v>69</v>
      </c>
      <c r="W921" s="3">
        <v>45391</v>
      </c>
      <c r="X921" t="b">
        <v>0</v>
      </c>
      <c r="Y921" t="b">
        <v>0</v>
      </c>
      <c r="Z921" t="s">
        <v>70</v>
      </c>
      <c r="AA921" t="s">
        <v>83</v>
      </c>
      <c r="AB921">
        <v>11</v>
      </c>
      <c r="AO921" t="str">
        <f t="shared" si="45"/>
        <v>26-40</v>
      </c>
      <c r="BD921">
        <v>7</v>
      </c>
      <c r="BF921" cm="1">
        <f t="array" ref="BF921">CORREL(J921:J1921,S921:S1921)</f>
        <v>0.0229520518233614</v>
      </c>
      <c r="BH921">
        <v>9</v>
      </c>
      <c r="BI921">
        <f t="shared" si="48"/>
        <v>0.777777777777778</v>
      </c>
      <c r="BJ921">
        <f t="shared" si="47"/>
        <v>11.5714285714286</v>
      </c>
    </row>
    <row r="922" spans="1:62">
      <c r="A922" s="1">
        <v>511165937</v>
      </c>
      <c r="B922">
        <v>25</v>
      </c>
      <c r="C922" t="s">
        <v>188</v>
      </c>
      <c r="D922" t="s">
        <v>74</v>
      </c>
      <c r="E922" t="s">
        <v>98</v>
      </c>
      <c r="F922" t="s">
        <v>62</v>
      </c>
      <c r="G922" t="s">
        <v>60</v>
      </c>
      <c r="H922" t="s">
        <v>1113</v>
      </c>
      <c r="I922" t="s">
        <v>178</v>
      </c>
      <c r="J922" s="2">
        <v>204.29</v>
      </c>
      <c r="K922">
        <v>11</v>
      </c>
      <c r="L922" t="s">
        <v>78</v>
      </c>
      <c r="M922">
        <v>5</v>
      </c>
      <c r="N922">
        <v>4</v>
      </c>
      <c r="O922">
        <v>0</v>
      </c>
      <c r="P922" t="s">
        <v>66</v>
      </c>
      <c r="Q922" t="s">
        <v>80</v>
      </c>
      <c r="R922">
        <v>2</v>
      </c>
      <c r="S922">
        <v>1</v>
      </c>
      <c r="T922" t="s">
        <v>79</v>
      </c>
      <c r="U922" t="s">
        <v>90</v>
      </c>
      <c r="V922" t="s">
        <v>81</v>
      </c>
      <c r="W922" s="3">
        <v>45428</v>
      </c>
      <c r="X922" t="b">
        <v>0</v>
      </c>
      <c r="Y922" t="b">
        <v>0</v>
      </c>
      <c r="Z922" t="s">
        <v>92</v>
      </c>
      <c r="AA922" t="s">
        <v>97</v>
      </c>
      <c r="AB922">
        <v>12</v>
      </c>
      <c r="AO922" t="str">
        <f t="shared" si="45"/>
        <v>18-25</v>
      </c>
      <c r="BD922">
        <v>11</v>
      </c>
      <c r="BF922" cm="1">
        <f t="array" ref="BF922">CORREL(J922:J1922,S922:S1922)</f>
        <v>0.0227111389913714</v>
      </c>
      <c r="BH922">
        <v>1</v>
      </c>
      <c r="BI922">
        <f t="shared" si="48"/>
        <v>11</v>
      </c>
      <c r="BJ922">
        <f t="shared" si="47"/>
        <v>0.0909090909090909</v>
      </c>
    </row>
    <row r="923" spans="1:62">
      <c r="A923" s="1">
        <v>724542741</v>
      </c>
      <c r="B923">
        <v>49</v>
      </c>
      <c r="C923" t="s">
        <v>73</v>
      </c>
      <c r="D923" t="s">
        <v>60</v>
      </c>
      <c r="E923" t="s">
        <v>86</v>
      </c>
      <c r="F923" t="s">
        <v>75</v>
      </c>
      <c r="G923" t="s">
        <v>60</v>
      </c>
      <c r="H923" t="s">
        <v>1114</v>
      </c>
      <c r="I923" t="s">
        <v>129</v>
      </c>
      <c r="J923" s="2">
        <v>258.68</v>
      </c>
      <c r="K923">
        <v>4</v>
      </c>
      <c r="L923" t="s">
        <v>85</v>
      </c>
      <c r="M923">
        <v>4</v>
      </c>
      <c r="N923">
        <v>2</v>
      </c>
      <c r="O923">
        <v>1</v>
      </c>
      <c r="P923" t="s">
        <v>84</v>
      </c>
      <c r="Q923" t="s">
        <v>67</v>
      </c>
      <c r="R923">
        <v>0</v>
      </c>
      <c r="S923">
        <v>9</v>
      </c>
      <c r="T923" t="s">
        <v>66</v>
      </c>
      <c r="U923" t="s">
        <v>105</v>
      </c>
      <c r="V923" t="s">
        <v>69</v>
      </c>
      <c r="W923" s="3">
        <v>45587</v>
      </c>
      <c r="X923" t="b">
        <v>0</v>
      </c>
      <c r="Y923" t="b">
        <v>0</v>
      </c>
      <c r="Z923" t="s">
        <v>92</v>
      </c>
      <c r="AA923" t="s">
        <v>71</v>
      </c>
      <c r="AB923">
        <v>9</v>
      </c>
      <c r="AO923" t="str">
        <f t="shared" si="45"/>
        <v>41-60</v>
      </c>
      <c r="BD923">
        <v>4</v>
      </c>
      <c r="BF923" cm="1">
        <f t="array" ref="BF923">CORREL(J923:J1923,S923:S1923)</f>
        <v>0.0104669598252786</v>
      </c>
      <c r="BH923">
        <v>9</v>
      </c>
      <c r="BI923">
        <f t="shared" si="48"/>
        <v>0.444444444444444</v>
      </c>
      <c r="BJ923">
        <f t="shared" si="47"/>
        <v>20.25</v>
      </c>
    </row>
    <row r="924" spans="1:62">
      <c r="A924" s="1">
        <v>964841000</v>
      </c>
      <c r="B924">
        <v>26</v>
      </c>
      <c r="C924" t="s">
        <v>73</v>
      </c>
      <c r="D924" t="s">
        <v>60</v>
      </c>
      <c r="E924" t="s">
        <v>61</v>
      </c>
      <c r="F924" t="s">
        <v>62</v>
      </c>
      <c r="G924" t="s">
        <v>74</v>
      </c>
      <c r="H924" t="s">
        <v>1115</v>
      </c>
      <c r="I924" t="s">
        <v>64</v>
      </c>
      <c r="J924" s="2">
        <v>258.02</v>
      </c>
      <c r="K924">
        <v>2</v>
      </c>
      <c r="L924" t="s">
        <v>78</v>
      </c>
      <c r="M924">
        <v>3</v>
      </c>
      <c r="N924">
        <v>2</v>
      </c>
      <c r="O924">
        <v>1</v>
      </c>
      <c r="P924" t="s">
        <v>84</v>
      </c>
      <c r="Q924" t="s">
        <v>109</v>
      </c>
      <c r="R924">
        <v>2</v>
      </c>
      <c r="S924">
        <v>4</v>
      </c>
      <c r="T924" t="s">
        <v>74</v>
      </c>
      <c r="U924" t="s">
        <v>105</v>
      </c>
      <c r="V924" t="s">
        <v>81</v>
      </c>
      <c r="W924" s="3">
        <v>45604</v>
      </c>
      <c r="X924" t="b">
        <v>1</v>
      </c>
      <c r="Y924" t="b">
        <v>1</v>
      </c>
      <c r="Z924" t="s">
        <v>70</v>
      </c>
      <c r="AA924" t="s">
        <v>97</v>
      </c>
      <c r="AB924">
        <v>13</v>
      </c>
      <c r="AO924" t="str">
        <f t="shared" ref="AO924:AO987" si="49">IF(B924&lt;=25,"18-25",IF(B924&lt;=40,"26-40",IF(B924&lt;=60,"41-60","Above60")))</f>
        <v>26-40</v>
      </c>
      <c r="BD924">
        <v>2</v>
      </c>
      <c r="BF924" cm="1">
        <f t="array" ref="BF924">CORREL(J924:J1924,S924:S1924)</f>
        <v>0.0150213003372491</v>
      </c>
      <c r="BH924">
        <v>4</v>
      </c>
      <c r="BI924">
        <f t="shared" si="48"/>
        <v>0.5</v>
      </c>
      <c r="BJ924">
        <f t="shared" si="47"/>
        <v>8</v>
      </c>
    </row>
    <row r="925" spans="1:62">
      <c r="A925" s="4" t="s">
        <v>1116</v>
      </c>
      <c r="B925">
        <v>29</v>
      </c>
      <c r="C925" t="s">
        <v>59</v>
      </c>
      <c r="D925" t="s">
        <v>74</v>
      </c>
      <c r="E925" t="s">
        <v>86</v>
      </c>
      <c r="F925" t="s">
        <v>87</v>
      </c>
      <c r="G925" t="s">
        <v>60</v>
      </c>
      <c r="H925" t="s">
        <v>458</v>
      </c>
      <c r="I925" t="s">
        <v>64</v>
      </c>
      <c r="J925" s="2">
        <v>181.87</v>
      </c>
      <c r="K925">
        <v>12</v>
      </c>
      <c r="L925" t="s">
        <v>65</v>
      </c>
      <c r="M925">
        <v>4</v>
      </c>
      <c r="N925">
        <v>1</v>
      </c>
      <c r="O925">
        <v>1</v>
      </c>
      <c r="P925" t="s">
        <v>79</v>
      </c>
      <c r="Q925" t="s">
        <v>80</v>
      </c>
      <c r="R925">
        <v>2</v>
      </c>
      <c r="S925">
        <v>4</v>
      </c>
      <c r="T925" t="s">
        <v>74</v>
      </c>
      <c r="U925" t="s">
        <v>105</v>
      </c>
      <c r="V925" t="s">
        <v>91</v>
      </c>
      <c r="W925" s="3">
        <v>45536</v>
      </c>
      <c r="X925" t="b">
        <v>0</v>
      </c>
      <c r="Y925" t="b">
        <v>1</v>
      </c>
      <c r="Z925" t="s">
        <v>82</v>
      </c>
      <c r="AA925" t="s">
        <v>71</v>
      </c>
      <c r="AB925">
        <v>11</v>
      </c>
      <c r="AO925" t="str">
        <f t="shared" si="49"/>
        <v>26-40</v>
      </c>
      <c r="BD925">
        <v>12</v>
      </c>
      <c r="BF925" cm="1">
        <f t="array" ref="BF925">CORREL(J925:J1925,S925:S1925)</f>
        <v>0.0137520077178371</v>
      </c>
      <c r="BH925">
        <v>4</v>
      </c>
      <c r="BI925">
        <f t="shared" si="48"/>
        <v>3</v>
      </c>
      <c r="BJ925">
        <f t="shared" si="47"/>
        <v>1.33333333333333</v>
      </c>
    </row>
    <row r="926" spans="1:62">
      <c r="A926" s="1">
        <v>118025604</v>
      </c>
      <c r="B926">
        <v>26</v>
      </c>
      <c r="C926" t="s">
        <v>73</v>
      </c>
      <c r="D926" t="s">
        <v>74</v>
      </c>
      <c r="E926" t="s">
        <v>103</v>
      </c>
      <c r="F926" t="s">
        <v>75</v>
      </c>
      <c r="G926" t="s">
        <v>60</v>
      </c>
      <c r="H926" t="s">
        <v>1117</v>
      </c>
      <c r="I926" t="s">
        <v>156</v>
      </c>
      <c r="J926" s="2">
        <v>81.18</v>
      </c>
      <c r="K926">
        <v>8</v>
      </c>
      <c r="L926" t="s">
        <v>85</v>
      </c>
      <c r="M926">
        <v>4</v>
      </c>
      <c r="N926">
        <v>5</v>
      </c>
      <c r="O926">
        <v>1</v>
      </c>
      <c r="P926" t="s">
        <v>84</v>
      </c>
      <c r="Q926" t="s">
        <v>80</v>
      </c>
      <c r="R926">
        <v>2</v>
      </c>
      <c r="S926">
        <v>3</v>
      </c>
      <c r="T926" t="s">
        <v>74</v>
      </c>
      <c r="U926" t="s">
        <v>68</v>
      </c>
      <c r="V926" t="s">
        <v>110</v>
      </c>
      <c r="W926" s="3">
        <v>45429</v>
      </c>
      <c r="X926" t="b">
        <v>0</v>
      </c>
      <c r="Y926" t="b">
        <v>0</v>
      </c>
      <c r="Z926" t="s">
        <v>92</v>
      </c>
      <c r="AA926" t="s">
        <v>97</v>
      </c>
      <c r="AB926">
        <v>3</v>
      </c>
      <c r="AO926" t="str">
        <f t="shared" si="49"/>
        <v>26-40</v>
      </c>
      <c r="BD926">
        <v>8</v>
      </c>
      <c r="BF926" cm="1">
        <f t="array" ref="BF926">CORREL(J926:J1926,S926:S1926)</f>
        <v>0.00934103575360477</v>
      </c>
      <c r="BH926">
        <v>3</v>
      </c>
      <c r="BI926">
        <f t="shared" si="48"/>
        <v>2.66666666666667</v>
      </c>
      <c r="BJ926">
        <f t="shared" si="47"/>
        <v>1.125</v>
      </c>
    </row>
    <row r="927" spans="1:62">
      <c r="A927" s="1">
        <v>417504105</v>
      </c>
      <c r="B927">
        <v>23</v>
      </c>
      <c r="C927" t="s">
        <v>59</v>
      </c>
      <c r="D927" t="s">
        <v>74</v>
      </c>
      <c r="E927" t="s">
        <v>103</v>
      </c>
      <c r="F927" t="s">
        <v>87</v>
      </c>
      <c r="G927" t="s">
        <v>74</v>
      </c>
      <c r="H927" t="s">
        <v>1118</v>
      </c>
      <c r="I927" t="s">
        <v>107</v>
      </c>
      <c r="J927" s="2">
        <v>382.94</v>
      </c>
      <c r="K927">
        <v>8</v>
      </c>
      <c r="L927" t="s">
        <v>78</v>
      </c>
      <c r="M927">
        <v>1</v>
      </c>
      <c r="N927">
        <v>3</v>
      </c>
      <c r="O927">
        <v>0</v>
      </c>
      <c r="P927" t="s">
        <v>79</v>
      </c>
      <c r="Q927" t="s">
        <v>80</v>
      </c>
      <c r="R927">
        <v>0</v>
      </c>
      <c r="S927">
        <v>6</v>
      </c>
      <c r="T927" t="s">
        <v>66</v>
      </c>
      <c r="U927" t="s">
        <v>105</v>
      </c>
      <c r="V927" t="s">
        <v>91</v>
      </c>
      <c r="W927" s="3">
        <v>45431</v>
      </c>
      <c r="X927" t="b">
        <v>0</v>
      </c>
      <c r="Y927" t="b">
        <v>0</v>
      </c>
      <c r="Z927" t="s">
        <v>70</v>
      </c>
      <c r="AA927" t="s">
        <v>83</v>
      </c>
      <c r="AB927">
        <v>3</v>
      </c>
      <c r="AO927" t="str">
        <f t="shared" si="49"/>
        <v>18-25</v>
      </c>
      <c r="BD927">
        <v>8</v>
      </c>
      <c r="BF927" cm="1">
        <f t="array" ref="BF927">CORREL(J927:J1927,S927:S1927)</f>
        <v>-0.00756999415272954</v>
      </c>
      <c r="BH927">
        <v>6</v>
      </c>
      <c r="BI927">
        <f t="shared" si="48"/>
        <v>1.33333333333333</v>
      </c>
      <c r="BJ927">
        <f t="shared" si="47"/>
        <v>4.5</v>
      </c>
    </row>
    <row r="928" spans="1:62">
      <c r="A928" s="1">
        <v>314918457</v>
      </c>
      <c r="B928">
        <v>47</v>
      </c>
      <c r="C928" t="s">
        <v>59</v>
      </c>
      <c r="D928" t="s">
        <v>74</v>
      </c>
      <c r="E928" t="s">
        <v>86</v>
      </c>
      <c r="F928" t="s">
        <v>62</v>
      </c>
      <c r="G928" t="s">
        <v>74</v>
      </c>
      <c r="H928" t="s">
        <v>1119</v>
      </c>
      <c r="I928" t="s">
        <v>174</v>
      </c>
      <c r="J928" s="2">
        <v>402.82</v>
      </c>
      <c r="K928">
        <v>7</v>
      </c>
      <c r="L928" t="s">
        <v>85</v>
      </c>
      <c r="M928">
        <v>4</v>
      </c>
      <c r="N928">
        <v>5</v>
      </c>
      <c r="O928">
        <v>0</v>
      </c>
      <c r="P928" t="s">
        <v>66</v>
      </c>
      <c r="Q928" t="s">
        <v>67</v>
      </c>
      <c r="R928">
        <v>2</v>
      </c>
      <c r="S928">
        <v>2</v>
      </c>
      <c r="T928" t="s">
        <v>84</v>
      </c>
      <c r="U928" t="s">
        <v>90</v>
      </c>
      <c r="V928" t="s">
        <v>91</v>
      </c>
      <c r="W928" s="3">
        <v>45316</v>
      </c>
      <c r="X928" t="b">
        <v>0</v>
      </c>
      <c r="Y928" t="b">
        <v>0</v>
      </c>
      <c r="Z928" t="s">
        <v>82</v>
      </c>
      <c r="AA928" t="s">
        <v>71</v>
      </c>
      <c r="AB928">
        <v>13</v>
      </c>
      <c r="AO928" t="str">
        <f t="shared" si="49"/>
        <v>41-60</v>
      </c>
      <c r="BD928">
        <v>7</v>
      </c>
      <c r="BF928" cm="1">
        <f t="array" ref="BF928">CORREL(J928:J1928,S928:S1928)</f>
        <v>-0.0105140227815252</v>
      </c>
      <c r="BH928">
        <v>2</v>
      </c>
      <c r="BI928">
        <f t="shared" si="48"/>
        <v>3.5</v>
      </c>
      <c r="BJ928">
        <f t="shared" si="47"/>
        <v>0.571428571428571</v>
      </c>
    </row>
    <row r="929" spans="1:62">
      <c r="A929" s="1">
        <v>862579581</v>
      </c>
      <c r="B929">
        <v>30</v>
      </c>
      <c r="C929" t="s">
        <v>73</v>
      </c>
      <c r="D929" t="s">
        <v>74</v>
      </c>
      <c r="E929" t="s">
        <v>86</v>
      </c>
      <c r="F929" t="s">
        <v>62</v>
      </c>
      <c r="G929" t="s">
        <v>60</v>
      </c>
      <c r="H929" t="s">
        <v>1120</v>
      </c>
      <c r="I929" t="s">
        <v>64</v>
      </c>
      <c r="J929" s="2">
        <v>497.76</v>
      </c>
      <c r="K929">
        <v>2</v>
      </c>
      <c r="L929" t="s">
        <v>78</v>
      </c>
      <c r="M929">
        <v>1</v>
      </c>
      <c r="N929">
        <v>2</v>
      </c>
      <c r="O929">
        <v>2</v>
      </c>
      <c r="P929" t="s">
        <v>74</v>
      </c>
      <c r="Q929" t="s">
        <v>109</v>
      </c>
      <c r="R929">
        <v>2</v>
      </c>
      <c r="S929">
        <v>3</v>
      </c>
      <c r="T929" t="s">
        <v>79</v>
      </c>
      <c r="U929" t="s">
        <v>90</v>
      </c>
      <c r="V929" t="s">
        <v>69</v>
      </c>
      <c r="W929" s="3">
        <v>45359</v>
      </c>
      <c r="X929" t="b">
        <v>1</v>
      </c>
      <c r="Y929" t="b">
        <v>1</v>
      </c>
      <c r="Z929" t="s">
        <v>82</v>
      </c>
      <c r="AA929" t="s">
        <v>71</v>
      </c>
      <c r="AB929">
        <v>4</v>
      </c>
      <c r="AO929" t="str">
        <f t="shared" si="49"/>
        <v>26-40</v>
      </c>
      <c r="BD929">
        <v>2</v>
      </c>
      <c r="BF929" cm="1">
        <f t="array" ref="BF929">CORREL(J929:J1929,S929:S1929)</f>
        <v>0.00278219967228176</v>
      </c>
      <c r="BH929">
        <v>3</v>
      </c>
      <c r="BI929">
        <f t="shared" si="48"/>
        <v>0.666666666666667</v>
      </c>
      <c r="BJ929">
        <f t="shared" si="47"/>
        <v>4.5</v>
      </c>
    </row>
    <row r="930" spans="1:62">
      <c r="A930" s="1">
        <v>229816595</v>
      </c>
      <c r="B930">
        <v>26</v>
      </c>
      <c r="C930" t="s">
        <v>59</v>
      </c>
      <c r="D930" t="s">
        <v>74</v>
      </c>
      <c r="E930" t="s">
        <v>86</v>
      </c>
      <c r="F930" t="s">
        <v>75</v>
      </c>
      <c r="G930" t="s">
        <v>74</v>
      </c>
      <c r="H930" t="s">
        <v>1121</v>
      </c>
      <c r="I930" t="s">
        <v>100</v>
      </c>
      <c r="J930" s="2">
        <v>227.58</v>
      </c>
      <c r="K930">
        <v>5</v>
      </c>
      <c r="L930" t="s">
        <v>85</v>
      </c>
      <c r="M930">
        <v>4</v>
      </c>
      <c r="N930">
        <v>2</v>
      </c>
      <c r="O930">
        <v>1</v>
      </c>
      <c r="P930" t="s">
        <v>74</v>
      </c>
      <c r="Q930" t="s">
        <v>80</v>
      </c>
      <c r="R930">
        <v>0</v>
      </c>
      <c r="S930">
        <v>1</v>
      </c>
      <c r="T930" t="s">
        <v>84</v>
      </c>
      <c r="U930" t="s">
        <v>68</v>
      </c>
      <c r="V930" t="s">
        <v>69</v>
      </c>
      <c r="W930" s="3">
        <v>45486</v>
      </c>
      <c r="X930" t="b">
        <v>1</v>
      </c>
      <c r="Y930" t="b">
        <v>0</v>
      </c>
      <c r="Z930" t="s">
        <v>70</v>
      </c>
      <c r="AA930" t="s">
        <v>71</v>
      </c>
      <c r="AB930">
        <v>11</v>
      </c>
      <c r="AO930" t="str">
        <f t="shared" si="49"/>
        <v>26-40</v>
      </c>
      <c r="BD930">
        <v>5</v>
      </c>
      <c r="BF930" cm="1">
        <f t="array" ref="BF930">CORREL(J930:J1930,S930:S1930)</f>
        <v>0.0208056251936151</v>
      </c>
      <c r="BH930">
        <v>1</v>
      </c>
      <c r="BI930">
        <f t="shared" si="48"/>
        <v>5</v>
      </c>
      <c r="BJ930">
        <f t="shared" si="47"/>
        <v>0.2</v>
      </c>
    </row>
    <row r="931" spans="1:62">
      <c r="A931" s="1">
        <v>540025845</v>
      </c>
      <c r="B931">
        <v>35</v>
      </c>
      <c r="C931" t="s">
        <v>59</v>
      </c>
      <c r="D931" t="s">
        <v>74</v>
      </c>
      <c r="E931" t="s">
        <v>103</v>
      </c>
      <c r="F931" t="s">
        <v>62</v>
      </c>
      <c r="G931" t="s">
        <v>74</v>
      </c>
      <c r="H931" t="s">
        <v>1122</v>
      </c>
      <c r="I931" t="s">
        <v>131</v>
      </c>
      <c r="J931" s="2">
        <v>263.57</v>
      </c>
      <c r="K931">
        <v>2</v>
      </c>
      <c r="L931" t="s">
        <v>65</v>
      </c>
      <c r="M931">
        <v>2</v>
      </c>
      <c r="N931">
        <v>3</v>
      </c>
      <c r="O931">
        <v>0</v>
      </c>
      <c r="P931" t="s">
        <v>74</v>
      </c>
      <c r="Q931" t="s">
        <v>67</v>
      </c>
      <c r="R931">
        <v>1</v>
      </c>
      <c r="S931">
        <v>9</v>
      </c>
      <c r="T931" t="s">
        <v>66</v>
      </c>
      <c r="U931" t="s">
        <v>68</v>
      </c>
      <c r="V931" t="s">
        <v>81</v>
      </c>
      <c r="W931" s="3">
        <v>45617</v>
      </c>
      <c r="X931" t="b">
        <v>1</v>
      </c>
      <c r="Y931" t="b">
        <v>1</v>
      </c>
      <c r="Z931" t="s">
        <v>92</v>
      </c>
      <c r="AA931" t="s">
        <v>97</v>
      </c>
      <c r="AB931">
        <v>8</v>
      </c>
      <c r="AO931" t="str">
        <f t="shared" si="49"/>
        <v>26-40</v>
      </c>
      <c r="BD931">
        <v>2</v>
      </c>
      <c r="BF931" cm="1">
        <f t="array" ref="BF931">CORREL(J931:J1931,S931:S1931)</f>
        <v>0.0106819001324423</v>
      </c>
      <c r="BH931">
        <v>9</v>
      </c>
      <c r="BI931">
        <f t="shared" si="48"/>
        <v>0.222222222222222</v>
      </c>
      <c r="BJ931">
        <f t="shared" si="47"/>
        <v>40.5</v>
      </c>
    </row>
    <row r="932" spans="1:62">
      <c r="A932" s="1">
        <v>319277787</v>
      </c>
      <c r="B932">
        <v>40</v>
      </c>
      <c r="C932" t="s">
        <v>73</v>
      </c>
      <c r="D932" t="s">
        <v>74</v>
      </c>
      <c r="E932" t="s">
        <v>61</v>
      </c>
      <c r="F932" t="s">
        <v>75</v>
      </c>
      <c r="G932" t="s">
        <v>74</v>
      </c>
      <c r="H932" t="s">
        <v>1123</v>
      </c>
      <c r="I932" t="s">
        <v>135</v>
      </c>
      <c r="J932" s="2">
        <v>422.09</v>
      </c>
      <c r="K932">
        <v>3</v>
      </c>
      <c r="L932" t="s">
        <v>78</v>
      </c>
      <c r="M932">
        <v>4</v>
      </c>
      <c r="N932">
        <v>1</v>
      </c>
      <c r="O932">
        <v>1</v>
      </c>
      <c r="P932" t="s">
        <v>74</v>
      </c>
      <c r="Q932" t="s">
        <v>80</v>
      </c>
      <c r="R932">
        <v>0</v>
      </c>
      <c r="S932">
        <v>9</v>
      </c>
      <c r="T932" t="s">
        <v>79</v>
      </c>
      <c r="U932" t="s">
        <v>68</v>
      </c>
      <c r="V932" t="s">
        <v>81</v>
      </c>
      <c r="W932" s="3">
        <v>45382</v>
      </c>
      <c r="X932" t="b">
        <v>1</v>
      </c>
      <c r="Y932" t="b">
        <v>0</v>
      </c>
      <c r="Z932" t="s">
        <v>70</v>
      </c>
      <c r="AA932" t="s">
        <v>83</v>
      </c>
      <c r="AB932">
        <v>7</v>
      </c>
      <c r="AO932" t="str">
        <f t="shared" si="49"/>
        <v>26-40</v>
      </c>
      <c r="BD932">
        <v>3</v>
      </c>
      <c r="BF932" cm="1">
        <f t="array" ref="BF932">CORREL(J932:J1932,S932:S1932)</f>
        <v>0.0148559404768299</v>
      </c>
      <c r="BH932">
        <v>9</v>
      </c>
      <c r="BI932">
        <f t="shared" si="48"/>
        <v>0.333333333333333</v>
      </c>
      <c r="BJ932">
        <f t="shared" si="47"/>
        <v>27</v>
      </c>
    </row>
    <row r="933" spans="1:62">
      <c r="A933" s="1">
        <v>460989737</v>
      </c>
      <c r="B933">
        <v>35</v>
      </c>
      <c r="C933" t="s">
        <v>73</v>
      </c>
      <c r="D933" t="s">
        <v>60</v>
      </c>
      <c r="E933" t="s">
        <v>61</v>
      </c>
      <c r="F933" t="s">
        <v>87</v>
      </c>
      <c r="G933" t="s">
        <v>74</v>
      </c>
      <c r="H933" t="s">
        <v>1124</v>
      </c>
      <c r="I933" t="s">
        <v>64</v>
      </c>
      <c r="J933" s="2">
        <v>411.83</v>
      </c>
      <c r="K933">
        <v>2</v>
      </c>
      <c r="L933" t="s">
        <v>78</v>
      </c>
      <c r="M933">
        <v>2</v>
      </c>
      <c r="N933">
        <v>3</v>
      </c>
      <c r="O933">
        <v>2</v>
      </c>
      <c r="P933" t="s">
        <v>74</v>
      </c>
      <c r="Q933" t="s">
        <v>80</v>
      </c>
      <c r="R933">
        <v>1</v>
      </c>
      <c r="S933">
        <v>3</v>
      </c>
      <c r="T933" t="s">
        <v>79</v>
      </c>
      <c r="U933" t="s">
        <v>68</v>
      </c>
      <c r="V933" t="s">
        <v>81</v>
      </c>
      <c r="W933" s="3">
        <v>45410</v>
      </c>
      <c r="X933" t="b">
        <v>1</v>
      </c>
      <c r="Y933" t="b">
        <v>1</v>
      </c>
      <c r="Z933" t="s">
        <v>92</v>
      </c>
      <c r="AA933" t="s">
        <v>83</v>
      </c>
      <c r="AB933">
        <v>10</v>
      </c>
      <c r="AO933" t="str">
        <f t="shared" si="49"/>
        <v>26-40</v>
      </c>
      <c r="BD933">
        <v>2</v>
      </c>
      <c r="BF933" cm="1">
        <f t="array" ref="BF933">CORREL(J933:J1933,S933:S1933)</f>
        <v>-0.00592781043043932</v>
      </c>
      <c r="BH933">
        <v>3</v>
      </c>
      <c r="BI933">
        <f t="shared" si="48"/>
        <v>0.666666666666667</v>
      </c>
      <c r="BJ933">
        <f t="shared" si="47"/>
        <v>4.5</v>
      </c>
    </row>
    <row r="934" spans="1:62">
      <c r="A934" s="1">
        <v>270177173</v>
      </c>
      <c r="B934">
        <v>21</v>
      </c>
      <c r="C934" t="s">
        <v>73</v>
      </c>
      <c r="D934" t="s">
        <v>60</v>
      </c>
      <c r="E934" t="s">
        <v>86</v>
      </c>
      <c r="F934" t="s">
        <v>87</v>
      </c>
      <c r="G934" t="s">
        <v>60</v>
      </c>
      <c r="H934" t="s">
        <v>1125</v>
      </c>
      <c r="I934" t="s">
        <v>133</v>
      </c>
      <c r="J934" s="2">
        <v>242.65</v>
      </c>
      <c r="K934">
        <v>3</v>
      </c>
      <c r="L934" t="s">
        <v>65</v>
      </c>
      <c r="M934">
        <v>5</v>
      </c>
      <c r="N934">
        <v>3</v>
      </c>
      <c r="O934">
        <v>0.2</v>
      </c>
      <c r="P934" t="s">
        <v>66</v>
      </c>
      <c r="Q934" t="s">
        <v>109</v>
      </c>
      <c r="R934">
        <v>2</v>
      </c>
      <c r="S934">
        <v>8</v>
      </c>
      <c r="T934" t="s">
        <v>66</v>
      </c>
      <c r="U934" t="s">
        <v>68</v>
      </c>
      <c r="V934" t="s">
        <v>110</v>
      </c>
      <c r="W934" s="3">
        <v>45482</v>
      </c>
      <c r="X934" t="b">
        <v>0</v>
      </c>
      <c r="Y934" t="b">
        <v>1</v>
      </c>
      <c r="Z934" t="s">
        <v>102</v>
      </c>
      <c r="AA934" t="s">
        <v>71</v>
      </c>
      <c r="AB934">
        <v>9</v>
      </c>
      <c r="AO934" t="str">
        <f t="shared" si="49"/>
        <v>18-25</v>
      </c>
      <c r="BD934">
        <v>3</v>
      </c>
      <c r="BF934" cm="1">
        <f t="array" ref="BF934">CORREL(J934:J1934,S934:S1934)</f>
        <v>0.00541784138579635</v>
      </c>
      <c r="BH934">
        <v>8</v>
      </c>
      <c r="BI934">
        <f t="shared" si="48"/>
        <v>0.375</v>
      </c>
      <c r="BJ934">
        <f t="shared" si="47"/>
        <v>21.3333333333333</v>
      </c>
    </row>
    <row r="935" spans="1:62">
      <c r="A935" s="1">
        <v>531029949</v>
      </c>
      <c r="B935">
        <v>41</v>
      </c>
      <c r="C935" t="s">
        <v>73</v>
      </c>
      <c r="D935" t="s">
        <v>60</v>
      </c>
      <c r="E935" t="s">
        <v>98</v>
      </c>
      <c r="F935" t="s">
        <v>87</v>
      </c>
      <c r="G935" t="s">
        <v>60</v>
      </c>
      <c r="H935" t="s">
        <v>1126</v>
      </c>
      <c r="I935" t="s">
        <v>113</v>
      </c>
      <c r="J935" s="2">
        <v>298.93</v>
      </c>
      <c r="K935">
        <v>6</v>
      </c>
      <c r="L935" t="s">
        <v>65</v>
      </c>
      <c r="M935">
        <v>5</v>
      </c>
      <c r="N935">
        <v>2</v>
      </c>
      <c r="O935">
        <v>0.2</v>
      </c>
      <c r="P935" t="s">
        <v>66</v>
      </c>
      <c r="Q935" t="s">
        <v>67</v>
      </c>
      <c r="R935">
        <v>2</v>
      </c>
      <c r="S935">
        <v>1</v>
      </c>
      <c r="T935" t="s">
        <v>66</v>
      </c>
      <c r="U935" t="s">
        <v>68</v>
      </c>
      <c r="V935" t="s">
        <v>81</v>
      </c>
      <c r="W935" s="3">
        <v>45557</v>
      </c>
      <c r="X935" t="b">
        <v>1</v>
      </c>
      <c r="Y935" t="b">
        <v>1</v>
      </c>
      <c r="Z935" t="s">
        <v>102</v>
      </c>
      <c r="AA935" t="s">
        <v>97</v>
      </c>
      <c r="AB935">
        <v>2</v>
      </c>
      <c r="AO935" t="str">
        <f t="shared" si="49"/>
        <v>41-60</v>
      </c>
      <c r="BD935">
        <v>6</v>
      </c>
      <c r="BF935" cm="1">
        <f t="array" ref="BF935">CORREL(J935:J1935,S935:S1935)</f>
        <v>0.01075722157747</v>
      </c>
      <c r="BH935">
        <v>1</v>
      </c>
      <c r="BI935">
        <f t="shared" ref="BI935:BI966" si="50">K935/S935</f>
        <v>6</v>
      </c>
      <c r="BJ935">
        <f t="shared" si="47"/>
        <v>0.166666666666667</v>
      </c>
    </row>
    <row r="936" spans="1:62">
      <c r="A936" s="4" t="s">
        <v>1127</v>
      </c>
      <c r="B936">
        <v>44</v>
      </c>
      <c r="C936" t="s">
        <v>59</v>
      </c>
      <c r="D936" t="s">
        <v>74</v>
      </c>
      <c r="E936" t="s">
        <v>86</v>
      </c>
      <c r="F936" t="s">
        <v>62</v>
      </c>
      <c r="G936" t="s">
        <v>74</v>
      </c>
      <c r="H936" t="s">
        <v>350</v>
      </c>
      <c r="I936" t="s">
        <v>115</v>
      </c>
      <c r="J936" s="2">
        <v>191.21</v>
      </c>
      <c r="K936">
        <v>7</v>
      </c>
      <c r="L936" t="s">
        <v>65</v>
      </c>
      <c r="M936">
        <v>5</v>
      </c>
      <c r="N936">
        <v>4</v>
      </c>
      <c r="O936">
        <v>1</v>
      </c>
      <c r="P936" t="s">
        <v>84</v>
      </c>
      <c r="Q936" t="s">
        <v>109</v>
      </c>
      <c r="R936">
        <v>2</v>
      </c>
      <c r="S936">
        <v>6</v>
      </c>
      <c r="T936" t="s">
        <v>84</v>
      </c>
      <c r="U936" t="s">
        <v>90</v>
      </c>
      <c r="V936" t="s">
        <v>91</v>
      </c>
      <c r="W936" s="3">
        <v>45386</v>
      </c>
      <c r="X936" t="b">
        <v>0</v>
      </c>
      <c r="Y936" t="b">
        <v>0</v>
      </c>
      <c r="Z936" t="s">
        <v>70</v>
      </c>
      <c r="AA936" t="s">
        <v>71</v>
      </c>
      <c r="AB936">
        <v>13</v>
      </c>
      <c r="AO936" t="str">
        <f t="shared" si="49"/>
        <v>41-60</v>
      </c>
      <c r="BD936">
        <v>7</v>
      </c>
      <c r="BF936" cm="1">
        <f t="array" ref="BF936">CORREL(J936:J1936,S936:S1936)</f>
        <v>0.0131301093085878</v>
      </c>
      <c r="BH936">
        <v>6</v>
      </c>
      <c r="BI936">
        <f t="shared" si="50"/>
        <v>1.16666666666667</v>
      </c>
      <c r="BJ936">
        <f t="shared" si="47"/>
        <v>5.14285714285714</v>
      </c>
    </row>
    <row r="937" spans="1:62">
      <c r="A937" s="1">
        <v>289697540</v>
      </c>
      <c r="B937">
        <v>44</v>
      </c>
      <c r="C937" t="s">
        <v>59</v>
      </c>
      <c r="D937" t="s">
        <v>74</v>
      </c>
      <c r="E937" t="s">
        <v>61</v>
      </c>
      <c r="F937" t="s">
        <v>87</v>
      </c>
      <c r="G937" t="s">
        <v>60</v>
      </c>
      <c r="H937" t="s">
        <v>1128</v>
      </c>
      <c r="I937" t="s">
        <v>131</v>
      </c>
      <c r="J937" s="2">
        <v>136.67</v>
      </c>
      <c r="K937">
        <v>3</v>
      </c>
      <c r="L937" t="s">
        <v>85</v>
      </c>
      <c r="M937">
        <v>3</v>
      </c>
      <c r="N937">
        <v>1</v>
      </c>
      <c r="O937">
        <v>1</v>
      </c>
      <c r="P937" t="s">
        <v>84</v>
      </c>
      <c r="Q937" t="s">
        <v>67</v>
      </c>
      <c r="R937">
        <v>0</v>
      </c>
      <c r="S937">
        <v>2</v>
      </c>
      <c r="T937" t="s">
        <v>74</v>
      </c>
      <c r="U937" t="s">
        <v>105</v>
      </c>
      <c r="V937" t="s">
        <v>81</v>
      </c>
      <c r="W937" s="3">
        <v>45463</v>
      </c>
      <c r="X937" t="b">
        <v>0</v>
      </c>
      <c r="Y937" t="b">
        <v>1</v>
      </c>
      <c r="Z937" t="s">
        <v>92</v>
      </c>
      <c r="AA937" t="s">
        <v>83</v>
      </c>
      <c r="AB937">
        <v>1</v>
      </c>
      <c r="AO937" t="str">
        <f t="shared" si="49"/>
        <v>41-60</v>
      </c>
      <c r="BD937">
        <v>3</v>
      </c>
      <c r="BF937" cm="1">
        <f t="array" ref="BF937">CORREL(J937:J1937,S937:S1937)</f>
        <v>0.0165182992301818</v>
      </c>
      <c r="BH937">
        <v>2</v>
      </c>
      <c r="BI937">
        <f t="shared" si="50"/>
        <v>1.5</v>
      </c>
      <c r="BJ937">
        <f t="shared" si="47"/>
        <v>1.33333333333333</v>
      </c>
    </row>
    <row r="938" spans="1:62">
      <c r="A938" s="1">
        <v>300839565</v>
      </c>
      <c r="B938">
        <v>37</v>
      </c>
      <c r="C938" t="s">
        <v>73</v>
      </c>
      <c r="D938" t="s">
        <v>60</v>
      </c>
      <c r="E938" t="s">
        <v>98</v>
      </c>
      <c r="F938" t="s">
        <v>87</v>
      </c>
      <c r="G938" t="s">
        <v>74</v>
      </c>
      <c r="H938" t="s">
        <v>1129</v>
      </c>
      <c r="I938" t="s">
        <v>113</v>
      </c>
      <c r="J938" s="2">
        <v>324.11</v>
      </c>
      <c r="K938">
        <v>11</v>
      </c>
      <c r="L938" t="s">
        <v>85</v>
      </c>
      <c r="M938">
        <v>3</v>
      </c>
      <c r="N938">
        <v>3</v>
      </c>
      <c r="O938">
        <v>2</v>
      </c>
      <c r="P938" t="s">
        <v>66</v>
      </c>
      <c r="Q938" t="s">
        <v>109</v>
      </c>
      <c r="R938">
        <v>0</v>
      </c>
      <c r="S938">
        <v>2</v>
      </c>
      <c r="T938" t="s">
        <v>84</v>
      </c>
      <c r="U938" t="s">
        <v>90</v>
      </c>
      <c r="V938" t="s">
        <v>110</v>
      </c>
      <c r="W938" s="3">
        <v>45373</v>
      </c>
      <c r="X938" t="b">
        <v>0</v>
      </c>
      <c r="Y938" t="b">
        <v>0</v>
      </c>
      <c r="Z938" t="s">
        <v>92</v>
      </c>
      <c r="AA938" t="s">
        <v>71</v>
      </c>
      <c r="AB938">
        <v>7</v>
      </c>
      <c r="AO938" t="str">
        <f t="shared" si="49"/>
        <v>26-40</v>
      </c>
      <c r="BD938">
        <v>11</v>
      </c>
      <c r="BF938" cm="1">
        <f t="array" ref="BF938">CORREL(J938:J1938,S938:S1938)</f>
        <v>-0.00500882952727917</v>
      </c>
      <c r="BH938">
        <v>2</v>
      </c>
      <c r="BI938">
        <f t="shared" si="50"/>
        <v>5.5</v>
      </c>
      <c r="BJ938">
        <f t="shared" si="47"/>
        <v>0.363636363636364</v>
      </c>
    </row>
    <row r="939" spans="1:62">
      <c r="A939" s="1">
        <v>309750306</v>
      </c>
      <c r="B939">
        <v>40</v>
      </c>
      <c r="C939" t="s">
        <v>59</v>
      </c>
      <c r="D939" t="s">
        <v>74</v>
      </c>
      <c r="E939" t="s">
        <v>98</v>
      </c>
      <c r="F939" t="s">
        <v>62</v>
      </c>
      <c r="G939" t="s">
        <v>74</v>
      </c>
      <c r="H939" t="s">
        <v>1130</v>
      </c>
      <c r="I939" t="s">
        <v>120</v>
      </c>
      <c r="J939" s="2">
        <v>105.64</v>
      </c>
      <c r="K939">
        <v>6</v>
      </c>
      <c r="L939" t="s">
        <v>85</v>
      </c>
      <c r="M939">
        <v>1</v>
      </c>
      <c r="N939">
        <v>3</v>
      </c>
      <c r="O939">
        <v>0</v>
      </c>
      <c r="P939" t="s">
        <v>84</v>
      </c>
      <c r="Q939" t="s">
        <v>109</v>
      </c>
      <c r="R939">
        <v>2</v>
      </c>
      <c r="S939">
        <v>1</v>
      </c>
      <c r="T939" t="s">
        <v>66</v>
      </c>
      <c r="U939" t="s">
        <v>90</v>
      </c>
      <c r="V939" t="s">
        <v>96</v>
      </c>
      <c r="W939" s="3">
        <v>45388</v>
      </c>
      <c r="X939" t="b">
        <v>1</v>
      </c>
      <c r="Y939" t="b">
        <v>1</v>
      </c>
      <c r="Z939" t="s">
        <v>102</v>
      </c>
      <c r="AA939" t="s">
        <v>71</v>
      </c>
      <c r="AB939">
        <v>12</v>
      </c>
      <c r="AO939" t="str">
        <f t="shared" si="49"/>
        <v>26-40</v>
      </c>
      <c r="BD939">
        <v>6</v>
      </c>
      <c r="BF939" cm="1">
        <f t="array" ref="BF939">CORREL(J939:J1939,S939:S1939)</f>
        <v>-0.000100535700873262</v>
      </c>
      <c r="BH939">
        <v>1</v>
      </c>
      <c r="BI939">
        <f t="shared" si="50"/>
        <v>6</v>
      </c>
      <c r="BJ939">
        <f t="shared" si="47"/>
        <v>0.166666666666667</v>
      </c>
    </row>
    <row r="940" spans="1:62">
      <c r="A940" s="1">
        <v>143644904</v>
      </c>
      <c r="B940">
        <v>43</v>
      </c>
      <c r="C940" t="s">
        <v>73</v>
      </c>
      <c r="D940" t="s">
        <v>74</v>
      </c>
      <c r="E940" t="s">
        <v>98</v>
      </c>
      <c r="F940" t="s">
        <v>87</v>
      </c>
      <c r="G940" t="s">
        <v>74</v>
      </c>
      <c r="H940" t="s">
        <v>1131</v>
      </c>
      <c r="I940" t="s">
        <v>131</v>
      </c>
      <c r="J940" s="2">
        <v>295.6</v>
      </c>
      <c r="K940">
        <v>10</v>
      </c>
      <c r="L940" t="s">
        <v>85</v>
      </c>
      <c r="M940">
        <v>1</v>
      </c>
      <c r="N940">
        <v>2</v>
      </c>
      <c r="O940">
        <v>1</v>
      </c>
      <c r="P940" t="s">
        <v>74</v>
      </c>
      <c r="Q940" t="s">
        <v>67</v>
      </c>
      <c r="R940">
        <v>0</v>
      </c>
      <c r="S940">
        <v>9</v>
      </c>
      <c r="T940" t="s">
        <v>84</v>
      </c>
      <c r="U940" t="s">
        <v>105</v>
      </c>
      <c r="V940" t="s">
        <v>69</v>
      </c>
      <c r="W940" s="3">
        <v>45432</v>
      </c>
      <c r="X940" t="b">
        <v>1</v>
      </c>
      <c r="Y940" t="b">
        <v>1</v>
      </c>
      <c r="Z940" t="s">
        <v>70</v>
      </c>
      <c r="AA940" t="s">
        <v>83</v>
      </c>
      <c r="AB940">
        <v>5</v>
      </c>
      <c r="AO940" t="str">
        <f t="shared" si="49"/>
        <v>41-60</v>
      </c>
      <c r="BD940">
        <v>10</v>
      </c>
      <c r="BF940" cm="1">
        <f t="array" ref="BF940">CORREL(J940:J1940,S940:S1940)</f>
        <v>-0.0377378050362931</v>
      </c>
      <c r="BH940">
        <v>9</v>
      </c>
      <c r="BI940">
        <f t="shared" si="50"/>
        <v>1.11111111111111</v>
      </c>
      <c r="BJ940">
        <f t="shared" si="47"/>
        <v>8.1</v>
      </c>
    </row>
    <row r="941" spans="1:62">
      <c r="A941" s="4" t="s">
        <v>1132</v>
      </c>
      <c r="B941">
        <v>48</v>
      </c>
      <c r="C941" t="s">
        <v>73</v>
      </c>
      <c r="D941" t="s">
        <v>60</v>
      </c>
      <c r="E941" t="s">
        <v>86</v>
      </c>
      <c r="F941" t="s">
        <v>87</v>
      </c>
      <c r="G941" t="s">
        <v>74</v>
      </c>
      <c r="H941" t="s">
        <v>1133</v>
      </c>
      <c r="I941" t="s">
        <v>120</v>
      </c>
      <c r="J941" s="2">
        <v>227.03</v>
      </c>
      <c r="K941">
        <v>9</v>
      </c>
      <c r="L941" t="s">
        <v>78</v>
      </c>
      <c r="M941">
        <v>4</v>
      </c>
      <c r="N941">
        <v>4</v>
      </c>
      <c r="O941">
        <v>2</v>
      </c>
      <c r="P941" t="s">
        <v>84</v>
      </c>
      <c r="Q941" t="s">
        <v>80</v>
      </c>
      <c r="R941">
        <v>2</v>
      </c>
      <c r="S941">
        <v>7</v>
      </c>
      <c r="T941" t="s">
        <v>74</v>
      </c>
      <c r="U941" t="s">
        <v>68</v>
      </c>
      <c r="V941" t="s">
        <v>96</v>
      </c>
      <c r="W941" s="3">
        <v>45391</v>
      </c>
      <c r="X941" t="b">
        <v>1</v>
      </c>
      <c r="Y941" t="b">
        <v>1</v>
      </c>
      <c r="Z941" t="s">
        <v>70</v>
      </c>
      <c r="AA941" t="s">
        <v>71</v>
      </c>
      <c r="AB941">
        <v>4</v>
      </c>
      <c r="AO941" t="str">
        <f t="shared" si="49"/>
        <v>41-60</v>
      </c>
      <c r="BD941">
        <v>9</v>
      </c>
      <c r="BF941" cm="1">
        <f t="array" ref="BF941">CORREL(J941:J1941,S941:S1941)</f>
        <v>-0.0387676940550585</v>
      </c>
      <c r="BH941">
        <v>7</v>
      </c>
      <c r="BI941">
        <f t="shared" si="50"/>
        <v>1.28571428571429</v>
      </c>
      <c r="BJ941">
        <f t="shared" si="47"/>
        <v>5.44444444444444</v>
      </c>
    </row>
    <row r="942" spans="1:62">
      <c r="A942" s="1">
        <v>670372087</v>
      </c>
      <c r="B942">
        <v>32</v>
      </c>
      <c r="C942" t="s">
        <v>59</v>
      </c>
      <c r="D942" t="s">
        <v>74</v>
      </c>
      <c r="E942" t="s">
        <v>103</v>
      </c>
      <c r="F942" t="s">
        <v>62</v>
      </c>
      <c r="G942" t="s">
        <v>60</v>
      </c>
      <c r="H942" t="s">
        <v>1134</v>
      </c>
      <c r="I942" t="s">
        <v>124</v>
      </c>
      <c r="J942" s="2">
        <v>485.77</v>
      </c>
      <c r="K942">
        <v>10</v>
      </c>
      <c r="L942" t="s">
        <v>65</v>
      </c>
      <c r="M942">
        <v>1</v>
      </c>
      <c r="N942">
        <v>2</v>
      </c>
      <c r="O942">
        <v>0</v>
      </c>
      <c r="P942" t="s">
        <v>84</v>
      </c>
      <c r="Q942" t="s">
        <v>80</v>
      </c>
      <c r="R942">
        <v>2</v>
      </c>
      <c r="S942">
        <v>6</v>
      </c>
      <c r="T942" t="s">
        <v>66</v>
      </c>
      <c r="U942" t="s">
        <v>68</v>
      </c>
      <c r="V942" t="s">
        <v>110</v>
      </c>
      <c r="W942" s="3">
        <v>45630</v>
      </c>
      <c r="X942" t="b">
        <v>0</v>
      </c>
      <c r="Y942" t="b">
        <v>0</v>
      </c>
      <c r="Z942" t="s">
        <v>102</v>
      </c>
      <c r="AA942" t="s">
        <v>71</v>
      </c>
      <c r="AB942">
        <v>6</v>
      </c>
      <c r="AO942" t="str">
        <f t="shared" si="49"/>
        <v>26-40</v>
      </c>
      <c r="BD942">
        <v>10</v>
      </c>
      <c r="BF942" cm="1">
        <f t="array" ref="BF942">CORREL(J942:J1942,S942:S1942)</f>
        <v>-0.0335815364657762</v>
      </c>
      <c r="BH942">
        <v>6</v>
      </c>
      <c r="BI942">
        <f t="shared" si="50"/>
        <v>1.66666666666667</v>
      </c>
      <c r="BJ942">
        <f t="shared" si="47"/>
        <v>3.6</v>
      </c>
    </row>
    <row r="943" spans="1:62">
      <c r="A943" s="4" t="s">
        <v>1135</v>
      </c>
      <c r="B943">
        <v>37</v>
      </c>
      <c r="C943" t="s">
        <v>59</v>
      </c>
      <c r="D943" t="s">
        <v>60</v>
      </c>
      <c r="E943" t="s">
        <v>98</v>
      </c>
      <c r="F943" t="s">
        <v>75</v>
      </c>
      <c r="G943" t="s">
        <v>74</v>
      </c>
      <c r="H943" t="s">
        <v>1136</v>
      </c>
      <c r="I943" t="s">
        <v>120</v>
      </c>
      <c r="J943" s="2">
        <v>173.43</v>
      </c>
      <c r="K943">
        <v>4</v>
      </c>
      <c r="L943" t="s">
        <v>78</v>
      </c>
      <c r="M943">
        <v>3</v>
      </c>
      <c r="N943">
        <v>3</v>
      </c>
      <c r="O943">
        <v>0</v>
      </c>
      <c r="P943" t="s">
        <v>79</v>
      </c>
      <c r="Q943" t="s">
        <v>80</v>
      </c>
      <c r="R943">
        <v>2</v>
      </c>
      <c r="S943">
        <v>1</v>
      </c>
      <c r="T943" t="s">
        <v>84</v>
      </c>
      <c r="U943" t="s">
        <v>105</v>
      </c>
      <c r="V943" t="s">
        <v>81</v>
      </c>
      <c r="W943" s="3">
        <v>45439</v>
      </c>
      <c r="X943" t="b">
        <v>1</v>
      </c>
      <c r="Y943" t="b">
        <v>1</v>
      </c>
      <c r="Z943" t="s">
        <v>70</v>
      </c>
      <c r="AA943" t="s">
        <v>71</v>
      </c>
      <c r="AB943">
        <v>14</v>
      </c>
      <c r="AO943" t="str">
        <f t="shared" si="49"/>
        <v>26-40</v>
      </c>
      <c r="BD943">
        <v>4</v>
      </c>
      <c r="BF943" cm="1">
        <f t="array" ref="BF943">CORREL(J943:J1943,S943:S1943)</f>
        <v>-0.0410048486941539</v>
      </c>
      <c r="BH943">
        <v>1</v>
      </c>
      <c r="BI943">
        <f t="shared" si="50"/>
        <v>4</v>
      </c>
      <c r="BJ943">
        <f t="shared" si="47"/>
        <v>0.25</v>
      </c>
    </row>
    <row r="944" spans="1:62">
      <c r="A944" s="1">
        <v>124175609</v>
      </c>
      <c r="B944">
        <v>29</v>
      </c>
      <c r="C944" t="s">
        <v>59</v>
      </c>
      <c r="D944" t="s">
        <v>60</v>
      </c>
      <c r="E944" t="s">
        <v>98</v>
      </c>
      <c r="F944" t="s">
        <v>75</v>
      </c>
      <c r="G944" t="s">
        <v>60</v>
      </c>
      <c r="H944" t="s">
        <v>1137</v>
      </c>
      <c r="I944" t="s">
        <v>135</v>
      </c>
      <c r="J944" s="2">
        <v>462.96</v>
      </c>
      <c r="K944">
        <v>2</v>
      </c>
      <c r="L944" t="s">
        <v>85</v>
      </c>
      <c r="M944">
        <v>4</v>
      </c>
      <c r="N944">
        <v>2</v>
      </c>
      <c r="O944">
        <v>0</v>
      </c>
      <c r="P944" t="s">
        <v>74</v>
      </c>
      <c r="Q944" t="s">
        <v>109</v>
      </c>
      <c r="R944">
        <v>2</v>
      </c>
      <c r="S944">
        <v>6</v>
      </c>
      <c r="T944" t="s">
        <v>74</v>
      </c>
      <c r="U944" t="s">
        <v>68</v>
      </c>
      <c r="V944" t="s">
        <v>110</v>
      </c>
      <c r="W944" s="3">
        <v>45474</v>
      </c>
      <c r="X944" t="b">
        <v>1</v>
      </c>
      <c r="Y944" t="b">
        <v>0</v>
      </c>
      <c r="Z944" t="s">
        <v>102</v>
      </c>
      <c r="AA944" t="s">
        <v>71</v>
      </c>
      <c r="AB944">
        <v>3</v>
      </c>
      <c r="AO944" t="str">
        <f t="shared" si="49"/>
        <v>26-40</v>
      </c>
      <c r="BD944">
        <v>2</v>
      </c>
      <c r="BF944" cm="1">
        <f t="array" ref="BF944">CORREL(J944:J1944,S944:S1944)</f>
        <v>-0.0677675115118559</v>
      </c>
      <c r="BH944">
        <v>6</v>
      </c>
      <c r="BI944">
        <f t="shared" si="50"/>
        <v>0.333333333333333</v>
      </c>
      <c r="BJ944">
        <f t="shared" si="47"/>
        <v>18</v>
      </c>
    </row>
    <row r="945" spans="1:62">
      <c r="A945" s="1">
        <v>250966830</v>
      </c>
      <c r="B945">
        <v>36</v>
      </c>
      <c r="C945" t="s">
        <v>73</v>
      </c>
      <c r="D945" t="s">
        <v>74</v>
      </c>
      <c r="E945" t="s">
        <v>103</v>
      </c>
      <c r="F945" t="s">
        <v>75</v>
      </c>
      <c r="G945" t="s">
        <v>60</v>
      </c>
      <c r="H945" t="s">
        <v>1138</v>
      </c>
      <c r="I945" t="s">
        <v>115</v>
      </c>
      <c r="J945" s="2">
        <v>203.13</v>
      </c>
      <c r="K945">
        <v>10</v>
      </c>
      <c r="L945" t="s">
        <v>85</v>
      </c>
      <c r="M945">
        <v>4</v>
      </c>
      <c r="N945">
        <v>3</v>
      </c>
      <c r="O945">
        <v>2</v>
      </c>
      <c r="P945" t="s">
        <v>66</v>
      </c>
      <c r="Q945" t="s">
        <v>67</v>
      </c>
      <c r="R945">
        <v>1</v>
      </c>
      <c r="S945">
        <v>5</v>
      </c>
      <c r="T945" t="s">
        <v>74</v>
      </c>
      <c r="U945" t="s">
        <v>68</v>
      </c>
      <c r="V945" t="s">
        <v>91</v>
      </c>
      <c r="W945" s="3">
        <v>45519</v>
      </c>
      <c r="X945" t="b">
        <v>1</v>
      </c>
      <c r="Y945" t="b">
        <v>0</v>
      </c>
      <c r="Z945" t="s">
        <v>92</v>
      </c>
      <c r="AA945" t="s">
        <v>83</v>
      </c>
      <c r="AB945">
        <v>6</v>
      </c>
      <c r="AO945" t="str">
        <f t="shared" si="49"/>
        <v>26-40</v>
      </c>
      <c r="BD945">
        <v>10</v>
      </c>
      <c r="BF945" cm="1">
        <f t="array" ref="BF945">CORREL(J945:J1945,S945:S1945)</f>
        <v>-0.0745943815431889</v>
      </c>
      <c r="BH945">
        <v>5</v>
      </c>
      <c r="BI945">
        <f t="shared" si="50"/>
        <v>2</v>
      </c>
      <c r="BJ945">
        <f t="shared" si="47"/>
        <v>2.5</v>
      </c>
    </row>
    <row r="946" spans="1:62">
      <c r="A946" s="1">
        <v>915585922</v>
      </c>
      <c r="B946">
        <v>50</v>
      </c>
      <c r="C946" t="s">
        <v>59</v>
      </c>
      <c r="D946" t="s">
        <v>74</v>
      </c>
      <c r="E946" t="s">
        <v>61</v>
      </c>
      <c r="F946" t="s">
        <v>87</v>
      </c>
      <c r="G946" t="s">
        <v>74</v>
      </c>
      <c r="H946" t="s">
        <v>1139</v>
      </c>
      <c r="I946" t="s">
        <v>137</v>
      </c>
      <c r="J946" s="2">
        <v>443.11</v>
      </c>
      <c r="K946">
        <v>9</v>
      </c>
      <c r="L946" t="s">
        <v>78</v>
      </c>
      <c r="M946">
        <v>1</v>
      </c>
      <c r="N946">
        <v>2</v>
      </c>
      <c r="O946">
        <v>1</v>
      </c>
      <c r="P946" t="s">
        <v>66</v>
      </c>
      <c r="Q946" t="s">
        <v>109</v>
      </c>
      <c r="R946">
        <v>0</v>
      </c>
      <c r="S946">
        <v>10</v>
      </c>
      <c r="T946" t="s">
        <v>84</v>
      </c>
      <c r="U946" t="s">
        <v>68</v>
      </c>
      <c r="V946" t="s">
        <v>96</v>
      </c>
      <c r="W946" s="3">
        <v>45310</v>
      </c>
      <c r="X946" t="b">
        <v>1</v>
      </c>
      <c r="Y946" t="b">
        <v>1</v>
      </c>
      <c r="Z946" t="s">
        <v>82</v>
      </c>
      <c r="AA946" t="s">
        <v>71</v>
      </c>
      <c r="AB946">
        <v>1</v>
      </c>
      <c r="AO946" t="str">
        <f t="shared" si="49"/>
        <v>41-60</v>
      </c>
      <c r="BD946">
        <v>9</v>
      </c>
      <c r="BF946" cm="1">
        <f t="array" ref="BF946">CORREL(J946:J1946,S946:S1946)</f>
        <v>-0.0764070435031729</v>
      </c>
      <c r="BH946">
        <v>10</v>
      </c>
      <c r="BI946">
        <f t="shared" si="50"/>
        <v>0.9</v>
      </c>
      <c r="BJ946">
        <f t="shared" si="47"/>
        <v>11.1111111111111</v>
      </c>
    </row>
    <row r="947" spans="1:62">
      <c r="A947" s="1">
        <v>255604506</v>
      </c>
      <c r="B947">
        <v>31</v>
      </c>
      <c r="C947" t="s">
        <v>111</v>
      </c>
      <c r="D947" t="s">
        <v>74</v>
      </c>
      <c r="E947" t="s">
        <v>103</v>
      </c>
      <c r="F947" t="s">
        <v>75</v>
      </c>
      <c r="G947" t="s">
        <v>74</v>
      </c>
      <c r="H947" t="s">
        <v>1140</v>
      </c>
      <c r="I947" t="s">
        <v>147</v>
      </c>
      <c r="J947" s="2">
        <v>254.83</v>
      </c>
      <c r="K947">
        <v>2</v>
      </c>
      <c r="L947" t="s">
        <v>65</v>
      </c>
      <c r="M947">
        <v>1</v>
      </c>
      <c r="N947">
        <v>2</v>
      </c>
      <c r="O947">
        <v>1</v>
      </c>
      <c r="P947" t="s">
        <v>66</v>
      </c>
      <c r="Q947" t="s">
        <v>67</v>
      </c>
      <c r="R947">
        <v>1</v>
      </c>
      <c r="S947">
        <v>2</v>
      </c>
      <c r="T947" t="s">
        <v>84</v>
      </c>
      <c r="U947" t="s">
        <v>105</v>
      </c>
      <c r="V947" t="s">
        <v>69</v>
      </c>
      <c r="W947" s="3">
        <v>45553</v>
      </c>
      <c r="X947" t="b">
        <v>0</v>
      </c>
      <c r="Y947" t="b">
        <v>0</v>
      </c>
      <c r="Z947" t="s">
        <v>82</v>
      </c>
      <c r="AA947" t="s">
        <v>83</v>
      </c>
      <c r="AB947">
        <v>1</v>
      </c>
      <c r="AO947" t="str">
        <f t="shared" si="49"/>
        <v>26-40</v>
      </c>
      <c r="BD947">
        <v>2</v>
      </c>
      <c r="BF947" cm="1">
        <f t="array" ref="BF947">CORREL(J947:J1947,S947:S1947)</f>
        <v>-0.117819839795583</v>
      </c>
      <c r="BH947">
        <v>2</v>
      </c>
      <c r="BI947">
        <f t="shared" si="50"/>
        <v>1</v>
      </c>
      <c r="BJ947">
        <f t="shared" si="47"/>
        <v>2</v>
      </c>
    </row>
    <row r="948" spans="1:62">
      <c r="A948" s="1">
        <v>336090598</v>
      </c>
      <c r="B948">
        <v>29</v>
      </c>
      <c r="C948" t="s">
        <v>59</v>
      </c>
      <c r="D948" t="s">
        <v>74</v>
      </c>
      <c r="E948" t="s">
        <v>86</v>
      </c>
      <c r="F948" t="s">
        <v>87</v>
      </c>
      <c r="G948" t="s">
        <v>60</v>
      </c>
      <c r="H948" t="s">
        <v>1141</v>
      </c>
      <c r="I948" t="s">
        <v>118</v>
      </c>
      <c r="J948" s="2">
        <v>336.89</v>
      </c>
      <c r="K948">
        <v>4</v>
      </c>
      <c r="L948" t="s">
        <v>85</v>
      </c>
      <c r="M948">
        <v>2</v>
      </c>
      <c r="N948">
        <v>1</v>
      </c>
      <c r="O948">
        <v>2</v>
      </c>
      <c r="P948" t="s">
        <v>79</v>
      </c>
      <c r="Q948" t="s">
        <v>109</v>
      </c>
      <c r="R948">
        <v>1</v>
      </c>
      <c r="S948">
        <v>7</v>
      </c>
      <c r="T948" t="s">
        <v>74</v>
      </c>
      <c r="U948" t="s">
        <v>90</v>
      </c>
      <c r="V948" t="s">
        <v>69</v>
      </c>
      <c r="W948" s="3">
        <v>45460</v>
      </c>
      <c r="X948" t="b">
        <v>0</v>
      </c>
      <c r="Y948" t="b">
        <v>0</v>
      </c>
      <c r="Z948" t="s">
        <v>102</v>
      </c>
      <c r="AA948" t="s">
        <v>97</v>
      </c>
      <c r="AB948">
        <v>9</v>
      </c>
      <c r="AO948" t="str">
        <f t="shared" si="49"/>
        <v>26-40</v>
      </c>
      <c r="BD948">
        <v>4</v>
      </c>
      <c r="BF948" cm="1">
        <f t="array" ref="BF948">CORREL(J948:J1948,S948:S1948)</f>
        <v>-0.125664371762772</v>
      </c>
      <c r="BH948">
        <v>7</v>
      </c>
      <c r="BI948">
        <f t="shared" si="50"/>
        <v>0.571428571428571</v>
      </c>
      <c r="BJ948">
        <f t="shared" si="47"/>
        <v>12.25</v>
      </c>
    </row>
    <row r="949" spans="1:62">
      <c r="A949" s="1">
        <v>453371798</v>
      </c>
      <c r="B949">
        <v>26</v>
      </c>
      <c r="C949" t="s">
        <v>73</v>
      </c>
      <c r="D949" t="s">
        <v>60</v>
      </c>
      <c r="E949" t="s">
        <v>61</v>
      </c>
      <c r="F949" t="s">
        <v>62</v>
      </c>
      <c r="G949" t="s">
        <v>60</v>
      </c>
      <c r="H949" t="s">
        <v>1142</v>
      </c>
      <c r="I949" t="s">
        <v>135</v>
      </c>
      <c r="J949" s="2">
        <v>337.17</v>
      </c>
      <c r="K949">
        <v>8</v>
      </c>
      <c r="L949" t="s">
        <v>78</v>
      </c>
      <c r="M949">
        <v>5</v>
      </c>
      <c r="N949">
        <v>5</v>
      </c>
      <c r="O949">
        <v>0</v>
      </c>
      <c r="P949" t="s">
        <v>84</v>
      </c>
      <c r="Q949" t="s">
        <v>80</v>
      </c>
      <c r="R949">
        <v>1</v>
      </c>
      <c r="S949">
        <v>6</v>
      </c>
      <c r="T949" t="s">
        <v>79</v>
      </c>
      <c r="U949" t="s">
        <v>68</v>
      </c>
      <c r="V949" t="s">
        <v>69</v>
      </c>
      <c r="W949" s="3">
        <v>45499</v>
      </c>
      <c r="X949" t="b">
        <v>0</v>
      </c>
      <c r="Y949" t="b">
        <v>1</v>
      </c>
      <c r="Z949" t="s">
        <v>82</v>
      </c>
      <c r="AA949" t="s">
        <v>71</v>
      </c>
      <c r="AB949">
        <v>3</v>
      </c>
      <c r="AO949" t="str">
        <f t="shared" si="49"/>
        <v>26-40</v>
      </c>
      <c r="BD949">
        <v>8</v>
      </c>
      <c r="BF949" cm="1">
        <f t="array" ref="BF949">CORREL(J949:J1949,S949:S1949)</f>
        <v>-0.130741617716414</v>
      </c>
      <c r="BH949">
        <v>6</v>
      </c>
      <c r="BI949">
        <f t="shared" si="50"/>
        <v>1.33333333333333</v>
      </c>
      <c r="BJ949">
        <f t="shared" si="47"/>
        <v>4.5</v>
      </c>
    </row>
    <row r="950" spans="1:62">
      <c r="A950" s="1">
        <v>342658558</v>
      </c>
      <c r="B950">
        <v>22</v>
      </c>
      <c r="C950" t="s">
        <v>59</v>
      </c>
      <c r="D950" t="s">
        <v>74</v>
      </c>
      <c r="E950" t="s">
        <v>86</v>
      </c>
      <c r="F950" t="s">
        <v>75</v>
      </c>
      <c r="G950" t="s">
        <v>74</v>
      </c>
      <c r="H950" t="s">
        <v>1143</v>
      </c>
      <c r="I950" t="s">
        <v>77</v>
      </c>
      <c r="J950" s="2">
        <v>429.24</v>
      </c>
      <c r="K950">
        <v>2</v>
      </c>
      <c r="L950" t="s">
        <v>85</v>
      </c>
      <c r="M950">
        <v>2</v>
      </c>
      <c r="N950">
        <v>2</v>
      </c>
      <c r="O950">
        <v>2</v>
      </c>
      <c r="P950" t="s">
        <v>79</v>
      </c>
      <c r="Q950" t="s">
        <v>109</v>
      </c>
      <c r="R950">
        <v>0</v>
      </c>
      <c r="S950">
        <v>3</v>
      </c>
      <c r="T950" t="s">
        <v>66</v>
      </c>
      <c r="U950" t="s">
        <v>105</v>
      </c>
      <c r="V950" t="s">
        <v>110</v>
      </c>
      <c r="W950" s="3">
        <v>45362</v>
      </c>
      <c r="X950" t="b">
        <v>0</v>
      </c>
      <c r="Y950" t="b">
        <v>0</v>
      </c>
      <c r="Z950" t="s">
        <v>102</v>
      </c>
      <c r="AA950" t="s">
        <v>71</v>
      </c>
      <c r="AB950">
        <v>13</v>
      </c>
      <c r="AO950" t="str">
        <f t="shared" si="49"/>
        <v>18-25</v>
      </c>
      <c r="BD950">
        <v>2</v>
      </c>
      <c r="BF950" cm="1">
        <f t="array" ref="BF950">CORREL(J950:J1950,S950:S1950)</f>
        <v>-0.132940380060441</v>
      </c>
      <c r="BH950">
        <v>3</v>
      </c>
      <c r="BI950">
        <f t="shared" si="50"/>
        <v>0.666666666666667</v>
      </c>
      <c r="BJ950">
        <f t="shared" si="47"/>
        <v>4.5</v>
      </c>
    </row>
    <row r="951" spans="1:62">
      <c r="A951" s="1">
        <v>673237406</v>
      </c>
      <c r="B951">
        <v>35</v>
      </c>
      <c r="C951" t="s">
        <v>59</v>
      </c>
      <c r="D951" t="s">
        <v>74</v>
      </c>
      <c r="E951" t="s">
        <v>61</v>
      </c>
      <c r="F951" t="s">
        <v>75</v>
      </c>
      <c r="G951" t="s">
        <v>74</v>
      </c>
      <c r="H951" t="s">
        <v>1144</v>
      </c>
      <c r="I951" t="s">
        <v>131</v>
      </c>
      <c r="J951" s="2">
        <v>197.7</v>
      </c>
      <c r="K951">
        <v>7</v>
      </c>
      <c r="L951" t="s">
        <v>65</v>
      </c>
      <c r="M951">
        <v>3</v>
      </c>
      <c r="N951">
        <v>5</v>
      </c>
      <c r="O951">
        <v>2</v>
      </c>
      <c r="P951" t="s">
        <v>74</v>
      </c>
      <c r="Q951" t="s">
        <v>67</v>
      </c>
      <c r="R951">
        <v>1</v>
      </c>
      <c r="S951">
        <v>6</v>
      </c>
      <c r="T951" t="s">
        <v>79</v>
      </c>
      <c r="U951" t="s">
        <v>105</v>
      </c>
      <c r="V951" t="s">
        <v>110</v>
      </c>
      <c r="W951" s="3">
        <v>45562</v>
      </c>
      <c r="X951" t="b">
        <v>0</v>
      </c>
      <c r="Y951" t="b">
        <v>0</v>
      </c>
      <c r="Z951" t="s">
        <v>70</v>
      </c>
      <c r="AA951" t="s">
        <v>83</v>
      </c>
      <c r="AB951">
        <v>9</v>
      </c>
      <c r="AO951" t="str">
        <f t="shared" si="49"/>
        <v>26-40</v>
      </c>
      <c r="BD951">
        <v>7</v>
      </c>
      <c r="BF951" cm="1">
        <f t="array" ref="BF951">CORREL(J951:J1951,S951:S1951)</f>
        <v>-0.117262337648869</v>
      </c>
      <c r="BH951">
        <v>6</v>
      </c>
      <c r="BI951">
        <f t="shared" si="50"/>
        <v>1.16666666666667</v>
      </c>
      <c r="BJ951">
        <f t="shared" ref="BJ951:BJ982" si="51">BH951/BI951</f>
        <v>5.14285714285714</v>
      </c>
    </row>
    <row r="952" spans="1:62">
      <c r="A952" s="1">
        <v>401498247</v>
      </c>
      <c r="B952">
        <v>23</v>
      </c>
      <c r="C952" t="s">
        <v>73</v>
      </c>
      <c r="D952" t="s">
        <v>60</v>
      </c>
      <c r="E952" t="s">
        <v>61</v>
      </c>
      <c r="F952" t="s">
        <v>62</v>
      </c>
      <c r="G952" t="s">
        <v>60</v>
      </c>
      <c r="H952" t="s">
        <v>1145</v>
      </c>
      <c r="I952" t="s">
        <v>95</v>
      </c>
      <c r="J952" s="2">
        <v>336.96</v>
      </c>
      <c r="K952">
        <v>2</v>
      </c>
      <c r="L952" t="s">
        <v>78</v>
      </c>
      <c r="M952">
        <v>5</v>
      </c>
      <c r="N952">
        <v>2</v>
      </c>
      <c r="O952">
        <v>2</v>
      </c>
      <c r="P952" t="s">
        <v>74</v>
      </c>
      <c r="Q952" t="s">
        <v>80</v>
      </c>
      <c r="R952">
        <v>0</v>
      </c>
      <c r="S952">
        <v>7</v>
      </c>
      <c r="T952" t="s">
        <v>84</v>
      </c>
      <c r="U952" t="s">
        <v>68</v>
      </c>
      <c r="V952" t="s">
        <v>81</v>
      </c>
      <c r="W952" s="3">
        <v>45540</v>
      </c>
      <c r="X952" t="b">
        <v>1</v>
      </c>
      <c r="Y952" t="b">
        <v>1</v>
      </c>
      <c r="Z952" t="s">
        <v>92</v>
      </c>
      <c r="AA952" t="s">
        <v>71</v>
      </c>
      <c r="AB952">
        <v>7</v>
      </c>
      <c r="AO952" t="str">
        <f t="shared" si="49"/>
        <v>18-25</v>
      </c>
      <c r="BD952">
        <v>2</v>
      </c>
      <c r="BF952" cm="1">
        <f t="array" ref="BF952">CORREL(J952:J1952,S952:S1952)</f>
        <v>-0.114455813097813</v>
      </c>
      <c r="BH952">
        <v>7</v>
      </c>
      <c r="BI952">
        <f t="shared" si="50"/>
        <v>0.285714285714286</v>
      </c>
      <c r="BJ952">
        <f t="shared" si="51"/>
        <v>24.5</v>
      </c>
    </row>
    <row r="953" spans="1:62">
      <c r="A953" s="1">
        <v>37368691</v>
      </c>
      <c r="B953">
        <v>40</v>
      </c>
      <c r="C953" t="s">
        <v>59</v>
      </c>
      <c r="D953" t="s">
        <v>74</v>
      </c>
      <c r="E953" t="s">
        <v>61</v>
      </c>
      <c r="F953" t="s">
        <v>75</v>
      </c>
      <c r="G953" t="s">
        <v>74</v>
      </c>
      <c r="H953" t="s">
        <v>1146</v>
      </c>
      <c r="I953" t="s">
        <v>129</v>
      </c>
      <c r="J953" s="2">
        <v>489.81</v>
      </c>
      <c r="K953">
        <v>11</v>
      </c>
      <c r="L953" t="s">
        <v>65</v>
      </c>
      <c r="M953">
        <v>3</v>
      </c>
      <c r="N953">
        <v>2</v>
      </c>
      <c r="O953">
        <v>1</v>
      </c>
      <c r="P953" t="s">
        <v>84</v>
      </c>
      <c r="Q953" t="s">
        <v>109</v>
      </c>
      <c r="R953">
        <v>0</v>
      </c>
      <c r="S953">
        <v>1</v>
      </c>
      <c r="T953" t="s">
        <v>66</v>
      </c>
      <c r="U953" t="s">
        <v>68</v>
      </c>
      <c r="V953" t="s">
        <v>69</v>
      </c>
      <c r="W953" s="3">
        <v>45648</v>
      </c>
      <c r="X953" t="b">
        <v>0</v>
      </c>
      <c r="Y953" t="b">
        <v>0</v>
      </c>
      <c r="Z953" t="s">
        <v>82</v>
      </c>
      <c r="AA953" t="s">
        <v>71</v>
      </c>
      <c r="AB953">
        <v>3</v>
      </c>
      <c r="AO953" t="str">
        <f t="shared" si="49"/>
        <v>26-40</v>
      </c>
      <c r="BD953">
        <v>11</v>
      </c>
      <c r="BF953" cm="1">
        <f t="array" ref="BF953">CORREL(J953:J1953,S953:S1953)</f>
        <v>-0.119991486759433</v>
      </c>
      <c r="BH953">
        <v>1</v>
      </c>
      <c r="BI953">
        <f t="shared" si="50"/>
        <v>11</v>
      </c>
      <c r="BJ953">
        <f t="shared" si="51"/>
        <v>0.0909090909090909</v>
      </c>
    </row>
    <row r="954" spans="1:62">
      <c r="A954" s="1">
        <v>177639416</v>
      </c>
      <c r="B954">
        <v>32</v>
      </c>
      <c r="C954" t="s">
        <v>59</v>
      </c>
      <c r="D954" t="s">
        <v>74</v>
      </c>
      <c r="E954" t="s">
        <v>86</v>
      </c>
      <c r="F954" t="s">
        <v>75</v>
      </c>
      <c r="G954" t="s">
        <v>60</v>
      </c>
      <c r="H954" t="s">
        <v>1147</v>
      </c>
      <c r="I954" t="s">
        <v>133</v>
      </c>
      <c r="J954" s="2">
        <v>455.55</v>
      </c>
      <c r="K954">
        <v>8</v>
      </c>
      <c r="L954" t="s">
        <v>65</v>
      </c>
      <c r="M954">
        <v>4</v>
      </c>
      <c r="N954">
        <v>4</v>
      </c>
      <c r="O954">
        <v>1</v>
      </c>
      <c r="P954" t="s">
        <v>74</v>
      </c>
      <c r="Q954" t="s">
        <v>67</v>
      </c>
      <c r="R954">
        <v>0</v>
      </c>
      <c r="S954">
        <v>6</v>
      </c>
      <c r="T954" t="s">
        <v>74</v>
      </c>
      <c r="U954" t="s">
        <v>105</v>
      </c>
      <c r="V954" t="s">
        <v>81</v>
      </c>
      <c r="W954" s="3">
        <v>45594</v>
      </c>
      <c r="X954" t="b">
        <v>0</v>
      </c>
      <c r="Y954" t="b">
        <v>0</v>
      </c>
      <c r="Z954" t="s">
        <v>102</v>
      </c>
      <c r="AA954" t="s">
        <v>71</v>
      </c>
      <c r="AB954">
        <v>10</v>
      </c>
      <c r="AO954" t="str">
        <f t="shared" si="49"/>
        <v>26-40</v>
      </c>
      <c r="BD954">
        <v>8</v>
      </c>
      <c r="BF954" cm="1">
        <f t="array" ref="BF954">CORREL(J954:J1954,S954:S1954)</f>
        <v>-0.0739019611269286</v>
      </c>
      <c r="BH954">
        <v>6</v>
      </c>
      <c r="BI954">
        <f t="shared" si="50"/>
        <v>1.33333333333333</v>
      </c>
      <c r="BJ954">
        <f t="shared" si="51"/>
        <v>4.5</v>
      </c>
    </row>
    <row r="955" spans="1:62">
      <c r="A955" s="1">
        <v>564538263</v>
      </c>
      <c r="B955">
        <v>29</v>
      </c>
      <c r="C955" t="s">
        <v>73</v>
      </c>
      <c r="D955" t="s">
        <v>60</v>
      </c>
      <c r="E955" t="s">
        <v>103</v>
      </c>
      <c r="F955" t="s">
        <v>87</v>
      </c>
      <c r="G955" t="s">
        <v>60</v>
      </c>
      <c r="H955" t="s">
        <v>1148</v>
      </c>
      <c r="I955" t="s">
        <v>115</v>
      </c>
      <c r="J955" s="2">
        <v>266.61</v>
      </c>
      <c r="K955">
        <v>3</v>
      </c>
      <c r="L955" t="s">
        <v>85</v>
      </c>
      <c r="M955">
        <v>3</v>
      </c>
      <c r="N955">
        <v>1</v>
      </c>
      <c r="O955">
        <v>1</v>
      </c>
      <c r="P955" t="s">
        <v>79</v>
      </c>
      <c r="Q955" t="s">
        <v>109</v>
      </c>
      <c r="R955">
        <v>2</v>
      </c>
      <c r="S955">
        <v>8</v>
      </c>
      <c r="T955" t="s">
        <v>66</v>
      </c>
      <c r="U955" t="s">
        <v>68</v>
      </c>
      <c r="V955" t="s">
        <v>91</v>
      </c>
      <c r="W955" s="3">
        <v>45449</v>
      </c>
      <c r="X955" t="b">
        <v>1</v>
      </c>
      <c r="Y955" t="b">
        <v>0</v>
      </c>
      <c r="Z955" t="s">
        <v>70</v>
      </c>
      <c r="AA955" t="s">
        <v>83</v>
      </c>
      <c r="AB955">
        <v>7</v>
      </c>
      <c r="AO955" t="str">
        <f t="shared" si="49"/>
        <v>26-40</v>
      </c>
      <c r="BD955">
        <v>3</v>
      </c>
      <c r="BF955" cm="1">
        <f t="array" ref="BF955">CORREL(J955:J1955,S955:S1955)</f>
        <v>-0.0822359634451382</v>
      </c>
      <c r="BH955">
        <v>8</v>
      </c>
      <c r="BI955">
        <f t="shared" si="50"/>
        <v>0.375</v>
      </c>
      <c r="BJ955">
        <f t="shared" si="51"/>
        <v>21.3333333333333</v>
      </c>
    </row>
    <row r="956" spans="1:62">
      <c r="A956" s="1">
        <v>195600717</v>
      </c>
      <c r="B956">
        <v>50</v>
      </c>
      <c r="C956" t="s">
        <v>188</v>
      </c>
      <c r="D956" t="s">
        <v>60</v>
      </c>
      <c r="E956" t="s">
        <v>61</v>
      </c>
      <c r="F956" t="s">
        <v>75</v>
      </c>
      <c r="G956" t="s">
        <v>74</v>
      </c>
      <c r="H956" t="s">
        <v>1149</v>
      </c>
      <c r="I956" t="s">
        <v>178</v>
      </c>
      <c r="J956" s="2">
        <v>460.88</v>
      </c>
      <c r="K956">
        <v>5</v>
      </c>
      <c r="L956" t="s">
        <v>65</v>
      </c>
      <c r="M956">
        <v>3</v>
      </c>
      <c r="N956">
        <v>4</v>
      </c>
      <c r="O956">
        <v>2</v>
      </c>
      <c r="P956" t="s">
        <v>66</v>
      </c>
      <c r="Q956" t="s">
        <v>80</v>
      </c>
      <c r="R956">
        <v>2</v>
      </c>
      <c r="S956">
        <v>4</v>
      </c>
      <c r="T956" t="s">
        <v>74</v>
      </c>
      <c r="U956" t="s">
        <v>68</v>
      </c>
      <c r="V956" t="s">
        <v>110</v>
      </c>
      <c r="W956" s="3">
        <v>45394</v>
      </c>
      <c r="X956" t="b">
        <v>1</v>
      </c>
      <c r="Y956" t="b">
        <v>0</v>
      </c>
      <c r="Z956" t="s">
        <v>92</v>
      </c>
      <c r="AA956" t="s">
        <v>83</v>
      </c>
      <c r="AB956">
        <v>2</v>
      </c>
      <c r="AO956" t="str">
        <f t="shared" si="49"/>
        <v>41-60</v>
      </c>
      <c r="BD956">
        <v>5</v>
      </c>
      <c r="BF956" cm="1">
        <f t="array" ref="BF956">CORREL(J956:J1956,S956:S1956)</f>
        <v>-0.0813409157373369</v>
      </c>
      <c r="BH956">
        <v>4</v>
      </c>
      <c r="BI956">
        <f t="shared" si="50"/>
        <v>1.25</v>
      </c>
      <c r="BJ956">
        <f t="shared" si="51"/>
        <v>3.2</v>
      </c>
    </row>
    <row r="957" spans="1:62">
      <c r="A957" s="1">
        <v>401991803</v>
      </c>
      <c r="B957">
        <v>42</v>
      </c>
      <c r="C957" t="s">
        <v>73</v>
      </c>
      <c r="D957" t="s">
        <v>74</v>
      </c>
      <c r="E957" t="s">
        <v>86</v>
      </c>
      <c r="F957" t="s">
        <v>75</v>
      </c>
      <c r="G957" t="s">
        <v>60</v>
      </c>
      <c r="H957" t="s">
        <v>1150</v>
      </c>
      <c r="I957" t="s">
        <v>147</v>
      </c>
      <c r="J957" s="2">
        <v>361.4</v>
      </c>
      <c r="K957">
        <v>2</v>
      </c>
      <c r="L957" t="s">
        <v>78</v>
      </c>
      <c r="M957">
        <v>2</v>
      </c>
      <c r="N957">
        <v>5</v>
      </c>
      <c r="O957">
        <v>1</v>
      </c>
      <c r="P957" t="s">
        <v>79</v>
      </c>
      <c r="Q957" t="s">
        <v>67</v>
      </c>
      <c r="R957">
        <v>0</v>
      </c>
      <c r="S957">
        <v>5</v>
      </c>
      <c r="T957" t="s">
        <v>79</v>
      </c>
      <c r="U957" t="s">
        <v>105</v>
      </c>
      <c r="V957" t="s">
        <v>69</v>
      </c>
      <c r="W957" s="3">
        <v>45647</v>
      </c>
      <c r="X957" t="b">
        <v>0</v>
      </c>
      <c r="Y957" t="b">
        <v>1</v>
      </c>
      <c r="Z957" t="s">
        <v>92</v>
      </c>
      <c r="AA957" t="s">
        <v>71</v>
      </c>
      <c r="AB957">
        <v>7</v>
      </c>
      <c r="AO957" t="str">
        <f t="shared" si="49"/>
        <v>41-60</v>
      </c>
      <c r="BD957">
        <v>2</v>
      </c>
      <c r="BF957" cm="1">
        <f t="array" ref="BF957">CORREL(J957:J1957,S957:S1957)</f>
        <v>-0.0683880843003909</v>
      </c>
      <c r="BH957">
        <v>5</v>
      </c>
      <c r="BI957">
        <f t="shared" si="50"/>
        <v>0.4</v>
      </c>
      <c r="BJ957">
        <f t="shared" si="51"/>
        <v>12.5</v>
      </c>
    </row>
    <row r="958" spans="1:62">
      <c r="A958" s="4" t="s">
        <v>1151</v>
      </c>
      <c r="B958">
        <v>47</v>
      </c>
      <c r="C958" t="s">
        <v>59</v>
      </c>
      <c r="D958" t="s">
        <v>60</v>
      </c>
      <c r="E958" t="s">
        <v>103</v>
      </c>
      <c r="F958" t="s">
        <v>87</v>
      </c>
      <c r="G958" t="s">
        <v>60</v>
      </c>
      <c r="H958" t="s">
        <v>1152</v>
      </c>
      <c r="I958" t="s">
        <v>135</v>
      </c>
      <c r="J958" s="2">
        <v>51.86</v>
      </c>
      <c r="K958">
        <v>4</v>
      </c>
      <c r="L958" t="s">
        <v>65</v>
      </c>
      <c r="M958">
        <v>3</v>
      </c>
      <c r="N958">
        <v>5</v>
      </c>
      <c r="O958">
        <v>0.2</v>
      </c>
      <c r="P958" t="s">
        <v>79</v>
      </c>
      <c r="Q958" t="s">
        <v>80</v>
      </c>
      <c r="R958">
        <v>2</v>
      </c>
      <c r="S958">
        <v>6</v>
      </c>
      <c r="T958" t="s">
        <v>74</v>
      </c>
      <c r="U958" t="s">
        <v>68</v>
      </c>
      <c r="V958" t="s">
        <v>69</v>
      </c>
      <c r="W958" s="3">
        <v>45651</v>
      </c>
      <c r="X958" t="b">
        <v>0</v>
      </c>
      <c r="Y958" t="b">
        <v>1</v>
      </c>
      <c r="Z958" t="s">
        <v>70</v>
      </c>
      <c r="AA958" t="s">
        <v>71</v>
      </c>
      <c r="AB958">
        <v>6</v>
      </c>
      <c r="AO958" t="str">
        <f t="shared" si="49"/>
        <v>41-60</v>
      </c>
      <c r="BD958">
        <v>4</v>
      </c>
      <c r="BF958" cm="1">
        <f t="array" ref="BF958">CORREL(J958:J1958,S958:S1958)</f>
        <v>-0.0669999445523096</v>
      </c>
      <c r="BH958">
        <v>6</v>
      </c>
      <c r="BI958">
        <f t="shared" si="50"/>
        <v>0.666666666666667</v>
      </c>
      <c r="BJ958">
        <f t="shared" si="51"/>
        <v>9</v>
      </c>
    </row>
    <row r="959" spans="1:62">
      <c r="A959" s="1">
        <v>839825300</v>
      </c>
      <c r="B959">
        <v>27</v>
      </c>
      <c r="C959" t="s">
        <v>73</v>
      </c>
      <c r="D959" t="s">
        <v>60</v>
      </c>
      <c r="E959" t="s">
        <v>61</v>
      </c>
      <c r="F959" t="s">
        <v>75</v>
      </c>
      <c r="G959" t="s">
        <v>60</v>
      </c>
      <c r="H959" t="s">
        <v>1153</v>
      </c>
      <c r="I959" t="s">
        <v>89</v>
      </c>
      <c r="J959" s="2">
        <v>310.16</v>
      </c>
      <c r="K959">
        <v>5</v>
      </c>
      <c r="L959" t="s">
        <v>65</v>
      </c>
      <c r="M959">
        <v>5</v>
      </c>
      <c r="N959">
        <v>3</v>
      </c>
      <c r="O959">
        <v>1</v>
      </c>
      <c r="P959" t="s">
        <v>66</v>
      </c>
      <c r="Q959" t="s">
        <v>67</v>
      </c>
      <c r="R959">
        <v>0</v>
      </c>
      <c r="S959">
        <v>4</v>
      </c>
      <c r="T959" t="s">
        <v>74</v>
      </c>
      <c r="U959" t="s">
        <v>105</v>
      </c>
      <c r="V959" t="s">
        <v>110</v>
      </c>
      <c r="W959" s="3">
        <v>45627</v>
      </c>
      <c r="X959" t="b">
        <v>0</v>
      </c>
      <c r="Y959" t="b">
        <v>0</v>
      </c>
      <c r="Z959" t="s">
        <v>70</v>
      </c>
      <c r="AA959" t="s">
        <v>83</v>
      </c>
      <c r="AB959">
        <v>14</v>
      </c>
      <c r="AO959" t="str">
        <f t="shared" si="49"/>
        <v>26-40</v>
      </c>
      <c r="BD959">
        <v>5</v>
      </c>
      <c r="BF959" cm="1">
        <f t="array" ref="BF959">CORREL(J959:J1959,S959:S1959)</f>
        <v>-0.0593816751318931</v>
      </c>
      <c r="BH959">
        <v>4</v>
      </c>
      <c r="BI959">
        <f t="shared" si="50"/>
        <v>1.25</v>
      </c>
      <c r="BJ959">
        <f t="shared" si="51"/>
        <v>3.2</v>
      </c>
    </row>
    <row r="960" spans="1:62">
      <c r="A960" s="1">
        <v>466621571</v>
      </c>
      <c r="B960">
        <v>40</v>
      </c>
      <c r="C960" t="s">
        <v>59</v>
      </c>
      <c r="D960" t="s">
        <v>60</v>
      </c>
      <c r="E960" t="s">
        <v>98</v>
      </c>
      <c r="F960" t="s">
        <v>87</v>
      </c>
      <c r="G960" t="s">
        <v>60</v>
      </c>
      <c r="H960" t="s">
        <v>1154</v>
      </c>
      <c r="I960" t="s">
        <v>129</v>
      </c>
      <c r="J960" s="2">
        <v>300.73</v>
      </c>
      <c r="K960">
        <v>8</v>
      </c>
      <c r="L960" t="s">
        <v>85</v>
      </c>
      <c r="M960">
        <v>4</v>
      </c>
      <c r="N960">
        <v>2</v>
      </c>
      <c r="O960">
        <v>1</v>
      </c>
      <c r="P960" t="s">
        <v>84</v>
      </c>
      <c r="Q960" t="s">
        <v>67</v>
      </c>
      <c r="R960">
        <v>2</v>
      </c>
      <c r="S960">
        <v>9</v>
      </c>
      <c r="T960" t="s">
        <v>74</v>
      </c>
      <c r="U960" t="s">
        <v>105</v>
      </c>
      <c r="V960" t="s">
        <v>110</v>
      </c>
      <c r="W960" s="3">
        <v>45382</v>
      </c>
      <c r="X960" t="b">
        <v>1</v>
      </c>
      <c r="Y960" t="b">
        <v>1</v>
      </c>
      <c r="Z960" t="s">
        <v>70</v>
      </c>
      <c r="AA960" t="s">
        <v>71</v>
      </c>
      <c r="AB960">
        <v>10</v>
      </c>
      <c r="AO960" t="str">
        <f t="shared" si="49"/>
        <v>26-40</v>
      </c>
      <c r="BD960">
        <v>8</v>
      </c>
      <c r="BF960" cm="1">
        <f t="array" ref="BF960">CORREL(J960:J1960,S960:S1960)</f>
        <v>-0.0567005307720076</v>
      </c>
      <c r="BH960">
        <v>9</v>
      </c>
      <c r="BI960">
        <f t="shared" si="50"/>
        <v>0.888888888888889</v>
      </c>
      <c r="BJ960">
        <f t="shared" si="51"/>
        <v>10.125</v>
      </c>
    </row>
    <row r="961" spans="1:62">
      <c r="A961" s="1">
        <v>206999217</v>
      </c>
      <c r="B961">
        <v>28</v>
      </c>
      <c r="C961" t="s">
        <v>59</v>
      </c>
      <c r="D961" t="s">
        <v>74</v>
      </c>
      <c r="E961" t="s">
        <v>61</v>
      </c>
      <c r="F961" t="s">
        <v>75</v>
      </c>
      <c r="G961" t="s">
        <v>60</v>
      </c>
      <c r="H961" t="s">
        <v>1155</v>
      </c>
      <c r="I961" t="s">
        <v>129</v>
      </c>
      <c r="J961" s="2">
        <v>356.87</v>
      </c>
      <c r="K961">
        <v>12</v>
      </c>
      <c r="L961" t="s">
        <v>65</v>
      </c>
      <c r="M961">
        <v>1</v>
      </c>
      <c r="N961">
        <v>4</v>
      </c>
      <c r="O961">
        <v>0</v>
      </c>
      <c r="P961" t="s">
        <v>74</v>
      </c>
      <c r="Q961" t="s">
        <v>80</v>
      </c>
      <c r="R961">
        <v>1</v>
      </c>
      <c r="S961">
        <v>9</v>
      </c>
      <c r="T961" t="s">
        <v>79</v>
      </c>
      <c r="U961" t="s">
        <v>90</v>
      </c>
      <c r="V961" t="s">
        <v>91</v>
      </c>
      <c r="W961" s="3">
        <v>45577</v>
      </c>
      <c r="X961" t="b">
        <v>0</v>
      </c>
      <c r="Y961" t="b">
        <v>1</v>
      </c>
      <c r="Z961" t="s">
        <v>92</v>
      </c>
      <c r="AA961" t="s">
        <v>83</v>
      </c>
      <c r="AB961">
        <v>10</v>
      </c>
      <c r="AO961" t="str">
        <f t="shared" si="49"/>
        <v>26-40</v>
      </c>
      <c r="BD961">
        <v>12</v>
      </c>
      <c r="BF961" cm="1">
        <f t="array" ref="BF961">CORREL(J961:J1961,S961:S1961)</f>
        <v>-0.0641165726715266</v>
      </c>
      <c r="BH961">
        <v>9</v>
      </c>
      <c r="BI961">
        <f t="shared" si="50"/>
        <v>1.33333333333333</v>
      </c>
      <c r="BJ961">
        <f t="shared" si="51"/>
        <v>6.75</v>
      </c>
    </row>
    <row r="962" spans="1:62">
      <c r="A962" s="1">
        <v>21500209</v>
      </c>
      <c r="B962">
        <v>28</v>
      </c>
      <c r="C962" t="s">
        <v>73</v>
      </c>
      <c r="D962" t="s">
        <v>60</v>
      </c>
      <c r="E962" t="s">
        <v>98</v>
      </c>
      <c r="F962" t="s">
        <v>75</v>
      </c>
      <c r="G962" t="s">
        <v>60</v>
      </c>
      <c r="H962" t="s">
        <v>1156</v>
      </c>
      <c r="I962" t="s">
        <v>171</v>
      </c>
      <c r="J962" s="2">
        <v>82.37</v>
      </c>
      <c r="K962">
        <v>6</v>
      </c>
      <c r="L962" t="s">
        <v>65</v>
      </c>
      <c r="M962">
        <v>1</v>
      </c>
      <c r="N962">
        <v>1</v>
      </c>
      <c r="O962">
        <v>1</v>
      </c>
      <c r="P962" t="s">
        <v>79</v>
      </c>
      <c r="Q962" t="s">
        <v>80</v>
      </c>
      <c r="R962">
        <v>0</v>
      </c>
      <c r="S962">
        <v>4</v>
      </c>
      <c r="T962" t="s">
        <v>79</v>
      </c>
      <c r="U962" t="s">
        <v>90</v>
      </c>
      <c r="V962" t="s">
        <v>69</v>
      </c>
      <c r="W962" s="3">
        <v>45651</v>
      </c>
      <c r="X962" t="b">
        <v>0</v>
      </c>
      <c r="Y962" t="b">
        <v>0</v>
      </c>
      <c r="Z962" t="s">
        <v>92</v>
      </c>
      <c r="AA962" t="s">
        <v>83</v>
      </c>
      <c r="AB962">
        <v>2</v>
      </c>
      <c r="AO962" t="str">
        <f t="shared" si="49"/>
        <v>26-40</v>
      </c>
      <c r="BD962">
        <v>6</v>
      </c>
      <c r="BF962" cm="1">
        <f t="array" ref="BF962">CORREL(J962:J1962,S962:S1962)</f>
        <v>-0.08734013411956</v>
      </c>
      <c r="BH962">
        <v>4</v>
      </c>
      <c r="BI962">
        <f t="shared" si="50"/>
        <v>1.5</v>
      </c>
      <c r="BJ962">
        <f t="shared" si="51"/>
        <v>2.66666666666667</v>
      </c>
    </row>
    <row r="963" spans="1:62">
      <c r="A963" s="1">
        <v>949855336</v>
      </c>
      <c r="B963">
        <v>29</v>
      </c>
      <c r="C963" t="s">
        <v>59</v>
      </c>
      <c r="D963" t="s">
        <v>74</v>
      </c>
      <c r="E963" t="s">
        <v>103</v>
      </c>
      <c r="F963" t="s">
        <v>62</v>
      </c>
      <c r="G963" t="s">
        <v>74</v>
      </c>
      <c r="H963" t="s">
        <v>1001</v>
      </c>
      <c r="I963" t="s">
        <v>171</v>
      </c>
      <c r="J963" s="2">
        <v>372.6</v>
      </c>
      <c r="K963">
        <v>3</v>
      </c>
      <c r="L963" t="s">
        <v>65</v>
      </c>
      <c r="M963">
        <v>4</v>
      </c>
      <c r="N963">
        <v>5</v>
      </c>
      <c r="O963">
        <v>1</v>
      </c>
      <c r="P963" t="s">
        <v>74</v>
      </c>
      <c r="Q963" t="s">
        <v>109</v>
      </c>
      <c r="R963">
        <v>2</v>
      </c>
      <c r="S963">
        <v>6</v>
      </c>
      <c r="T963" t="s">
        <v>84</v>
      </c>
      <c r="U963" t="s">
        <v>68</v>
      </c>
      <c r="V963" t="s">
        <v>81</v>
      </c>
      <c r="W963" s="3">
        <v>45302</v>
      </c>
      <c r="X963" t="b">
        <v>1</v>
      </c>
      <c r="Y963" t="b">
        <v>1</v>
      </c>
      <c r="Z963" t="s">
        <v>102</v>
      </c>
      <c r="AA963" t="s">
        <v>97</v>
      </c>
      <c r="AB963">
        <v>10</v>
      </c>
      <c r="AO963" t="str">
        <f t="shared" si="49"/>
        <v>26-40</v>
      </c>
      <c r="BD963">
        <v>3</v>
      </c>
      <c r="BF963" cm="1">
        <f t="array" ref="BF963">CORREL(J963:J1963,S963:S1963)</f>
        <v>-0.105705987873082</v>
      </c>
      <c r="BH963">
        <v>6</v>
      </c>
      <c r="BI963">
        <f t="shared" si="50"/>
        <v>0.5</v>
      </c>
      <c r="BJ963">
        <f t="shared" si="51"/>
        <v>12</v>
      </c>
    </row>
    <row r="964" spans="1:62">
      <c r="A964" s="1">
        <v>977153606</v>
      </c>
      <c r="B964">
        <v>29</v>
      </c>
      <c r="C964" t="s">
        <v>59</v>
      </c>
      <c r="D964" t="s">
        <v>60</v>
      </c>
      <c r="E964" t="s">
        <v>98</v>
      </c>
      <c r="F964" t="s">
        <v>75</v>
      </c>
      <c r="G964" t="s">
        <v>74</v>
      </c>
      <c r="H964" t="s">
        <v>1157</v>
      </c>
      <c r="I964" t="s">
        <v>120</v>
      </c>
      <c r="J964" s="2">
        <v>78.32</v>
      </c>
      <c r="K964">
        <v>9</v>
      </c>
      <c r="L964" t="s">
        <v>85</v>
      </c>
      <c r="M964">
        <v>2</v>
      </c>
      <c r="N964">
        <v>4</v>
      </c>
      <c r="O964">
        <v>2</v>
      </c>
      <c r="P964" t="s">
        <v>84</v>
      </c>
      <c r="Q964" t="s">
        <v>67</v>
      </c>
      <c r="R964">
        <v>2</v>
      </c>
      <c r="S964">
        <v>10</v>
      </c>
      <c r="T964" t="s">
        <v>84</v>
      </c>
      <c r="U964" t="s">
        <v>90</v>
      </c>
      <c r="V964" t="s">
        <v>81</v>
      </c>
      <c r="W964" s="3">
        <v>45502</v>
      </c>
      <c r="X964" t="b">
        <v>0</v>
      </c>
      <c r="Y964" t="b">
        <v>1</v>
      </c>
      <c r="Z964" t="s">
        <v>70</v>
      </c>
      <c r="AA964" t="s">
        <v>83</v>
      </c>
      <c r="AB964">
        <v>7</v>
      </c>
      <c r="AO964" t="str">
        <f t="shared" si="49"/>
        <v>26-40</v>
      </c>
      <c r="BD964">
        <v>9</v>
      </c>
      <c r="BF964" cm="1">
        <f t="array" ref="BF964">CORREL(J964:J1964,S964:S1964)</f>
        <v>-0.112163460622322</v>
      </c>
      <c r="BH964">
        <v>10</v>
      </c>
      <c r="BI964">
        <f t="shared" si="50"/>
        <v>0.9</v>
      </c>
      <c r="BJ964">
        <f t="shared" si="51"/>
        <v>11.1111111111111</v>
      </c>
    </row>
    <row r="965" spans="1:62">
      <c r="A965" s="4" t="s">
        <v>1158</v>
      </c>
      <c r="B965">
        <v>32</v>
      </c>
      <c r="C965" t="s">
        <v>59</v>
      </c>
      <c r="D965" t="s">
        <v>74</v>
      </c>
      <c r="E965" t="s">
        <v>86</v>
      </c>
      <c r="F965" t="s">
        <v>87</v>
      </c>
      <c r="G965" t="s">
        <v>74</v>
      </c>
      <c r="H965" t="s">
        <v>1159</v>
      </c>
      <c r="I965" t="s">
        <v>135</v>
      </c>
      <c r="J965" s="2">
        <v>71.72</v>
      </c>
      <c r="K965">
        <v>12</v>
      </c>
      <c r="L965" t="s">
        <v>85</v>
      </c>
      <c r="M965">
        <v>3</v>
      </c>
      <c r="N965">
        <v>5</v>
      </c>
      <c r="O965">
        <v>1</v>
      </c>
      <c r="P965" t="s">
        <v>74</v>
      </c>
      <c r="Q965" t="s">
        <v>67</v>
      </c>
      <c r="R965">
        <v>2</v>
      </c>
      <c r="S965">
        <v>5</v>
      </c>
      <c r="T965" t="s">
        <v>84</v>
      </c>
      <c r="U965" t="s">
        <v>68</v>
      </c>
      <c r="V965" t="s">
        <v>81</v>
      </c>
      <c r="W965" s="3">
        <v>45302</v>
      </c>
      <c r="X965" t="b">
        <v>1</v>
      </c>
      <c r="Y965" t="b">
        <v>1</v>
      </c>
      <c r="Z965" t="s">
        <v>82</v>
      </c>
      <c r="AA965" t="s">
        <v>97</v>
      </c>
      <c r="AB965">
        <v>13</v>
      </c>
      <c r="AO965" t="str">
        <f t="shared" si="49"/>
        <v>26-40</v>
      </c>
      <c r="BD965">
        <v>12</v>
      </c>
      <c r="BF965" cm="1">
        <f t="array" ref="BF965">CORREL(J965:J1965,S965:S1965)</f>
        <v>-0.0459770836018642</v>
      </c>
      <c r="BH965">
        <v>5</v>
      </c>
      <c r="BI965">
        <f t="shared" si="50"/>
        <v>2.4</v>
      </c>
      <c r="BJ965">
        <f t="shared" si="51"/>
        <v>2.08333333333333</v>
      </c>
    </row>
    <row r="966" spans="1:62">
      <c r="A966" s="1">
        <v>160700138</v>
      </c>
      <c r="B966">
        <v>39</v>
      </c>
      <c r="C966" t="s">
        <v>59</v>
      </c>
      <c r="D966" t="s">
        <v>74</v>
      </c>
      <c r="E966" t="s">
        <v>86</v>
      </c>
      <c r="F966" t="s">
        <v>75</v>
      </c>
      <c r="G966" t="s">
        <v>74</v>
      </c>
      <c r="H966" t="s">
        <v>1160</v>
      </c>
      <c r="I966" t="s">
        <v>118</v>
      </c>
      <c r="J966" s="2">
        <v>241.1</v>
      </c>
      <c r="K966">
        <v>12</v>
      </c>
      <c r="L966" t="s">
        <v>78</v>
      </c>
      <c r="M966">
        <v>1</v>
      </c>
      <c r="N966">
        <v>5</v>
      </c>
      <c r="O966">
        <v>2</v>
      </c>
      <c r="P966" t="s">
        <v>66</v>
      </c>
      <c r="Q966" t="s">
        <v>80</v>
      </c>
      <c r="R966">
        <v>2</v>
      </c>
      <c r="S966">
        <v>2</v>
      </c>
      <c r="T966" t="s">
        <v>79</v>
      </c>
      <c r="U966" t="s">
        <v>105</v>
      </c>
      <c r="V966" t="s">
        <v>69</v>
      </c>
      <c r="W966" s="3">
        <v>45503</v>
      </c>
      <c r="X966" t="b">
        <v>0</v>
      </c>
      <c r="Y966" t="b">
        <v>1</v>
      </c>
      <c r="Z966" t="s">
        <v>102</v>
      </c>
      <c r="AA966" t="s">
        <v>71</v>
      </c>
      <c r="AB966">
        <v>8</v>
      </c>
      <c r="AO966" t="str">
        <f t="shared" si="49"/>
        <v>26-40</v>
      </c>
      <c r="BD966">
        <v>12</v>
      </c>
      <c r="BF966" cm="1">
        <f t="array" ref="BF966">CORREL(J966:J1966,S966:S1966)</f>
        <v>-0.0481640542846337</v>
      </c>
      <c r="BH966">
        <v>2</v>
      </c>
      <c r="BI966">
        <f t="shared" si="50"/>
        <v>6</v>
      </c>
      <c r="BJ966">
        <f t="shared" si="51"/>
        <v>0.333333333333333</v>
      </c>
    </row>
    <row r="967" spans="1:62">
      <c r="A967" s="1">
        <v>824745074</v>
      </c>
      <c r="B967">
        <v>22</v>
      </c>
      <c r="C967" t="s">
        <v>73</v>
      </c>
      <c r="D967" t="s">
        <v>60</v>
      </c>
      <c r="E967" t="s">
        <v>61</v>
      </c>
      <c r="F967" t="s">
        <v>62</v>
      </c>
      <c r="G967" t="s">
        <v>74</v>
      </c>
      <c r="H967" t="s">
        <v>1161</v>
      </c>
      <c r="I967" t="s">
        <v>178</v>
      </c>
      <c r="J967" s="2">
        <v>96.86</v>
      </c>
      <c r="K967">
        <v>9</v>
      </c>
      <c r="L967" t="s">
        <v>65</v>
      </c>
      <c r="M967">
        <v>5</v>
      </c>
      <c r="N967">
        <v>5</v>
      </c>
      <c r="O967">
        <v>0</v>
      </c>
      <c r="P967" t="s">
        <v>66</v>
      </c>
      <c r="Q967" t="s">
        <v>80</v>
      </c>
      <c r="R967">
        <v>2</v>
      </c>
      <c r="S967">
        <v>10</v>
      </c>
      <c r="T967" t="s">
        <v>79</v>
      </c>
      <c r="U967" t="s">
        <v>105</v>
      </c>
      <c r="V967" t="s">
        <v>91</v>
      </c>
      <c r="W967" s="3">
        <v>45501</v>
      </c>
      <c r="X967" t="b">
        <v>0</v>
      </c>
      <c r="Y967" t="b">
        <v>1</v>
      </c>
      <c r="Z967" t="s">
        <v>82</v>
      </c>
      <c r="AA967" t="s">
        <v>83</v>
      </c>
      <c r="AB967">
        <v>7</v>
      </c>
      <c r="AO967" t="str">
        <f t="shared" si="49"/>
        <v>18-25</v>
      </c>
      <c r="BD967">
        <v>9</v>
      </c>
      <c r="BF967" cm="1">
        <f t="array" ref="BF967">CORREL(J967:J1967,S967:S1967)</f>
        <v>-0.0605845559768385</v>
      </c>
      <c r="BH967">
        <v>10</v>
      </c>
      <c r="BI967">
        <f t="shared" ref="BI967:BI998" si="52">K967/S967</f>
        <v>0.9</v>
      </c>
      <c r="BJ967">
        <f t="shared" si="51"/>
        <v>11.1111111111111</v>
      </c>
    </row>
    <row r="968" spans="1:62">
      <c r="A968" s="1">
        <v>364445336</v>
      </c>
      <c r="B968">
        <v>48</v>
      </c>
      <c r="C968" t="s">
        <v>73</v>
      </c>
      <c r="D968" t="s">
        <v>60</v>
      </c>
      <c r="E968" t="s">
        <v>103</v>
      </c>
      <c r="F968" t="s">
        <v>87</v>
      </c>
      <c r="G968" t="s">
        <v>74</v>
      </c>
      <c r="H968" t="s">
        <v>1162</v>
      </c>
      <c r="I968" t="s">
        <v>77</v>
      </c>
      <c r="J968" s="2">
        <v>276.25</v>
      </c>
      <c r="K968">
        <v>11</v>
      </c>
      <c r="L968" t="s">
        <v>78</v>
      </c>
      <c r="M968">
        <v>2</v>
      </c>
      <c r="N968">
        <v>1</v>
      </c>
      <c r="O968">
        <v>2</v>
      </c>
      <c r="P968" t="s">
        <v>74</v>
      </c>
      <c r="Q968" t="s">
        <v>80</v>
      </c>
      <c r="R968">
        <v>2</v>
      </c>
      <c r="S968">
        <v>4</v>
      </c>
      <c r="T968" t="s">
        <v>66</v>
      </c>
      <c r="U968" t="s">
        <v>90</v>
      </c>
      <c r="V968" t="s">
        <v>110</v>
      </c>
      <c r="W968" s="3">
        <v>45607</v>
      </c>
      <c r="X968" t="b">
        <v>1</v>
      </c>
      <c r="Y968" t="b">
        <v>1</v>
      </c>
      <c r="Z968" t="s">
        <v>92</v>
      </c>
      <c r="AA968" t="s">
        <v>97</v>
      </c>
      <c r="AB968">
        <v>8</v>
      </c>
      <c r="AO968" t="str">
        <f t="shared" si="49"/>
        <v>41-60</v>
      </c>
      <c r="BD968">
        <v>11</v>
      </c>
      <c r="BF968" cm="1">
        <f t="array" ref="BF968">CORREL(J968:J1968,S968:S1968)</f>
        <v>0.0182898760647418</v>
      </c>
      <c r="BH968">
        <v>4</v>
      </c>
      <c r="BI968">
        <f t="shared" si="52"/>
        <v>2.75</v>
      </c>
      <c r="BJ968">
        <f t="shared" si="51"/>
        <v>1.45454545454545</v>
      </c>
    </row>
    <row r="969" spans="1:62">
      <c r="A969" s="1">
        <v>546805344</v>
      </c>
      <c r="B969">
        <v>29</v>
      </c>
      <c r="C969" t="s">
        <v>73</v>
      </c>
      <c r="D969" t="s">
        <v>60</v>
      </c>
      <c r="E969" t="s">
        <v>98</v>
      </c>
      <c r="F969" t="s">
        <v>87</v>
      </c>
      <c r="G969" t="s">
        <v>60</v>
      </c>
      <c r="H969" t="s">
        <v>1163</v>
      </c>
      <c r="I969" t="s">
        <v>89</v>
      </c>
      <c r="J969" s="2">
        <v>318.45</v>
      </c>
      <c r="K969">
        <v>10</v>
      </c>
      <c r="L969" t="s">
        <v>78</v>
      </c>
      <c r="M969">
        <v>2</v>
      </c>
      <c r="N969">
        <v>1</v>
      </c>
      <c r="O969">
        <v>2</v>
      </c>
      <c r="P969" t="s">
        <v>66</v>
      </c>
      <c r="Q969" t="s">
        <v>67</v>
      </c>
      <c r="R969">
        <v>2</v>
      </c>
      <c r="S969">
        <v>4</v>
      </c>
      <c r="T969" t="s">
        <v>74</v>
      </c>
      <c r="U969" t="s">
        <v>90</v>
      </c>
      <c r="V969" t="s">
        <v>96</v>
      </c>
      <c r="W969" s="3">
        <v>45590</v>
      </c>
      <c r="X969" t="b">
        <v>0</v>
      </c>
      <c r="Y969" t="b">
        <v>1</v>
      </c>
      <c r="Z969" t="s">
        <v>102</v>
      </c>
      <c r="AA969" t="s">
        <v>71</v>
      </c>
      <c r="AB969">
        <v>5</v>
      </c>
      <c r="AO969" t="str">
        <f t="shared" si="49"/>
        <v>26-40</v>
      </c>
      <c r="BD969">
        <v>10</v>
      </c>
      <c r="BF969" cm="1">
        <f t="array" ref="BF969">CORREL(J969:J1969,S969:S1969)</f>
        <v>0.0167926831687478</v>
      </c>
      <c r="BH969">
        <v>4</v>
      </c>
      <c r="BI969">
        <f t="shared" si="52"/>
        <v>2.5</v>
      </c>
      <c r="BJ969">
        <f t="shared" si="51"/>
        <v>1.6</v>
      </c>
    </row>
    <row r="970" spans="1:62">
      <c r="A970" s="1">
        <v>163648096</v>
      </c>
      <c r="B970">
        <v>41</v>
      </c>
      <c r="C970" t="s">
        <v>59</v>
      </c>
      <c r="D970" t="s">
        <v>74</v>
      </c>
      <c r="E970" t="s">
        <v>61</v>
      </c>
      <c r="F970" t="s">
        <v>75</v>
      </c>
      <c r="G970" t="s">
        <v>74</v>
      </c>
      <c r="H970" t="s">
        <v>1164</v>
      </c>
      <c r="I970" t="s">
        <v>120</v>
      </c>
      <c r="J970" s="2">
        <v>117.03</v>
      </c>
      <c r="K970">
        <v>6</v>
      </c>
      <c r="L970" t="s">
        <v>85</v>
      </c>
      <c r="M970">
        <v>3</v>
      </c>
      <c r="N970">
        <v>2</v>
      </c>
      <c r="O970">
        <v>0</v>
      </c>
      <c r="P970" t="s">
        <v>66</v>
      </c>
      <c r="Q970" t="s">
        <v>109</v>
      </c>
      <c r="R970">
        <v>2</v>
      </c>
      <c r="S970">
        <v>9</v>
      </c>
      <c r="T970" t="s">
        <v>79</v>
      </c>
      <c r="U970" t="s">
        <v>68</v>
      </c>
      <c r="V970" t="s">
        <v>110</v>
      </c>
      <c r="W970" s="3">
        <v>45555</v>
      </c>
      <c r="X970" t="b">
        <v>0</v>
      </c>
      <c r="Y970" t="b">
        <v>0</v>
      </c>
      <c r="Z970" t="s">
        <v>92</v>
      </c>
      <c r="AA970" t="s">
        <v>83</v>
      </c>
      <c r="AB970">
        <v>5</v>
      </c>
      <c r="AO970" t="str">
        <f t="shared" si="49"/>
        <v>41-60</v>
      </c>
      <c r="BD970">
        <v>6</v>
      </c>
      <c r="BF970" cm="1">
        <f t="array" ref="BF970">CORREL(J970:J1970,S970:S1970)</f>
        <v>0.0190184752975492</v>
      </c>
      <c r="BH970">
        <v>9</v>
      </c>
      <c r="BI970">
        <f t="shared" si="52"/>
        <v>0.666666666666667</v>
      </c>
      <c r="BJ970">
        <f t="shared" si="51"/>
        <v>13.5</v>
      </c>
    </row>
    <row r="971" spans="1:62">
      <c r="A971" s="1">
        <v>626448183</v>
      </c>
      <c r="B971">
        <v>50</v>
      </c>
      <c r="C971" t="s">
        <v>59</v>
      </c>
      <c r="D971" t="s">
        <v>60</v>
      </c>
      <c r="E971" t="s">
        <v>61</v>
      </c>
      <c r="F971" t="s">
        <v>87</v>
      </c>
      <c r="G971" t="s">
        <v>74</v>
      </c>
      <c r="H971" t="s">
        <v>1165</v>
      </c>
      <c r="I971" t="s">
        <v>137</v>
      </c>
      <c r="J971" s="2">
        <v>490.41</v>
      </c>
      <c r="K971">
        <v>7</v>
      </c>
      <c r="L971" t="s">
        <v>85</v>
      </c>
      <c r="M971">
        <v>3</v>
      </c>
      <c r="N971">
        <v>5</v>
      </c>
      <c r="O971">
        <v>1</v>
      </c>
      <c r="P971" t="s">
        <v>79</v>
      </c>
      <c r="Q971" t="s">
        <v>109</v>
      </c>
      <c r="R971">
        <v>1</v>
      </c>
      <c r="S971">
        <v>10</v>
      </c>
      <c r="T971" t="s">
        <v>84</v>
      </c>
      <c r="U971" t="s">
        <v>68</v>
      </c>
      <c r="V971" t="s">
        <v>96</v>
      </c>
      <c r="W971" s="3">
        <v>45587</v>
      </c>
      <c r="X971" t="b">
        <v>1</v>
      </c>
      <c r="Y971" t="b">
        <v>0</v>
      </c>
      <c r="Z971" t="s">
        <v>102</v>
      </c>
      <c r="AA971" t="s">
        <v>83</v>
      </c>
      <c r="AB971">
        <v>5</v>
      </c>
      <c r="AO971" t="str">
        <f t="shared" si="49"/>
        <v>41-60</v>
      </c>
      <c r="BD971">
        <v>7</v>
      </c>
      <c r="BF971" cm="1">
        <f t="array" ref="BF971">CORREL(J971:J1971,S971:S1971)</f>
        <v>0.0881461700973878</v>
      </c>
      <c r="BH971">
        <v>10</v>
      </c>
      <c r="BI971">
        <f t="shared" si="52"/>
        <v>0.7</v>
      </c>
      <c r="BJ971">
        <f t="shared" si="51"/>
        <v>14.2857142857143</v>
      </c>
    </row>
    <row r="972" spans="1:62">
      <c r="A972" s="1">
        <v>599710799</v>
      </c>
      <c r="B972">
        <v>48</v>
      </c>
      <c r="C972" t="s">
        <v>73</v>
      </c>
      <c r="D972" t="s">
        <v>60</v>
      </c>
      <c r="E972" t="s">
        <v>103</v>
      </c>
      <c r="F972" t="s">
        <v>62</v>
      </c>
      <c r="G972" t="s">
        <v>74</v>
      </c>
      <c r="H972" t="s">
        <v>1166</v>
      </c>
      <c r="I972" t="s">
        <v>147</v>
      </c>
      <c r="J972" s="2">
        <v>476.42</v>
      </c>
      <c r="K972">
        <v>7</v>
      </c>
      <c r="L972" t="s">
        <v>78</v>
      </c>
      <c r="M972">
        <v>1</v>
      </c>
      <c r="N972">
        <v>1</v>
      </c>
      <c r="O972">
        <v>1</v>
      </c>
      <c r="P972" t="s">
        <v>74</v>
      </c>
      <c r="Q972" t="s">
        <v>109</v>
      </c>
      <c r="R972">
        <v>0</v>
      </c>
      <c r="S972">
        <v>2</v>
      </c>
      <c r="T972" t="s">
        <v>74</v>
      </c>
      <c r="U972" t="s">
        <v>105</v>
      </c>
      <c r="V972" t="s">
        <v>91</v>
      </c>
      <c r="W972" s="3">
        <v>45544</v>
      </c>
      <c r="X972" t="b">
        <v>1</v>
      </c>
      <c r="Y972" t="b">
        <v>0</v>
      </c>
      <c r="Z972" t="s">
        <v>70</v>
      </c>
      <c r="AA972" t="s">
        <v>83</v>
      </c>
      <c r="AB972">
        <v>2</v>
      </c>
      <c r="AO972" t="str">
        <f t="shared" si="49"/>
        <v>41-60</v>
      </c>
      <c r="BD972">
        <v>7</v>
      </c>
      <c r="BF972" cm="1">
        <f t="array" ref="BF972">CORREL(J972:J1972,S972:S1972)</f>
        <v>-0.00689748625797055</v>
      </c>
      <c r="BH972">
        <v>2</v>
      </c>
      <c r="BI972">
        <f t="shared" si="52"/>
        <v>3.5</v>
      </c>
      <c r="BJ972">
        <f t="shared" si="51"/>
        <v>0.571428571428571</v>
      </c>
    </row>
    <row r="973" spans="1:62">
      <c r="A973" s="1">
        <v>640312046</v>
      </c>
      <c r="B973">
        <v>29</v>
      </c>
      <c r="C973" t="s">
        <v>59</v>
      </c>
      <c r="D973" t="s">
        <v>74</v>
      </c>
      <c r="E973" t="s">
        <v>103</v>
      </c>
      <c r="F973" t="s">
        <v>87</v>
      </c>
      <c r="G973" t="s">
        <v>74</v>
      </c>
      <c r="H973" t="s">
        <v>1167</v>
      </c>
      <c r="I973" t="s">
        <v>174</v>
      </c>
      <c r="J973" s="2">
        <v>392.27</v>
      </c>
      <c r="K973">
        <v>5</v>
      </c>
      <c r="L973" t="s">
        <v>65</v>
      </c>
      <c r="M973">
        <v>4</v>
      </c>
      <c r="N973">
        <v>5</v>
      </c>
      <c r="O973">
        <v>1</v>
      </c>
      <c r="P973" t="s">
        <v>74</v>
      </c>
      <c r="Q973" t="s">
        <v>80</v>
      </c>
      <c r="R973">
        <v>0</v>
      </c>
      <c r="S973">
        <v>2</v>
      </c>
      <c r="T973" t="s">
        <v>84</v>
      </c>
      <c r="U973" t="s">
        <v>68</v>
      </c>
      <c r="V973" t="s">
        <v>96</v>
      </c>
      <c r="W973" s="3">
        <v>45490</v>
      </c>
      <c r="X973" t="b">
        <v>1</v>
      </c>
      <c r="Y973" t="b">
        <v>0</v>
      </c>
      <c r="Z973" t="s">
        <v>82</v>
      </c>
      <c r="AA973" t="s">
        <v>71</v>
      </c>
      <c r="AB973">
        <v>7</v>
      </c>
      <c r="AO973" t="str">
        <f t="shared" si="49"/>
        <v>26-40</v>
      </c>
      <c r="BD973">
        <v>5</v>
      </c>
      <c r="BF973" cm="1">
        <f t="array" ref="BF973">CORREL(J973:J1973,S973:S1973)</f>
        <v>0.0498350702158733</v>
      </c>
      <c r="BH973">
        <v>2</v>
      </c>
      <c r="BI973">
        <f t="shared" si="52"/>
        <v>2.5</v>
      </c>
      <c r="BJ973">
        <f t="shared" si="51"/>
        <v>0.8</v>
      </c>
    </row>
    <row r="974" spans="1:62">
      <c r="A974" s="1">
        <v>870790237</v>
      </c>
      <c r="B974">
        <v>36</v>
      </c>
      <c r="C974" t="s">
        <v>73</v>
      </c>
      <c r="D974" t="s">
        <v>74</v>
      </c>
      <c r="E974" t="s">
        <v>86</v>
      </c>
      <c r="F974" t="s">
        <v>62</v>
      </c>
      <c r="G974" t="s">
        <v>60</v>
      </c>
      <c r="H974" t="s">
        <v>1168</v>
      </c>
      <c r="I974" t="s">
        <v>124</v>
      </c>
      <c r="J974" s="2">
        <v>207.24</v>
      </c>
      <c r="K974">
        <v>9</v>
      </c>
      <c r="L974" t="s">
        <v>85</v>
      </c>
      <c r="M974">
        <v>2</v>
      </c>
      <c r="N974">
        <v>2</v>
      </c>
      <c r="O974">
        <v>0</v>
      </c>
      <c r="P974" t="s">
        <v>84</v>
      </c>
      <c r="Q974" t="s">
        <v>80</v>
      </c>
      <c r="R974">
        <v>0</v>
      </c>
      <c r="S974">
        <v>6</v>
      </c>
      <c r="T974" t="s">
        <v>66</v>
      </c>
      <c r="U974" t="s">
        <v>105</v>
      </c>
      <c r="V974" t="s">
        <v>91</v>
      </c>
      <c r="W974" s="3">
        <v>45424</v>
      </c>
      <c r="X974" t="b">
        <v>1</v>
      </c>
      <c r="Y974" t="b">
        <v>0</v>
      </c>
      <c r="Z974" t="s">
        <v>92</v>
      </c>
      <c r="AA974" t="s">
        <v>71</v>
      </c>
      <c r="AB974">
        <v>3</v>
      </c>
      <c r="AO974" t="str">
        <f t="shared" si="49"/>
        <v>26-40</v>
      </c>
      <c r="BD974">
        <v>9</v>
      </c>
      <c r="BF974" cm="1">
        <f t="array" ref="BF974">CORREL(J974:J1974,S974:S1974)</f>
        <v>0.0869917546478994</v>
      </c>
      <c r="BH974">
        <v>6</v>
      </c>
      <c r="BI974">
        <f t="shared" si="52"/>
        <v>1.5</v>
      </c>
      <c r="BJ974">
        <f t="shared" si="51"/>
        <v>4</v>
      </c>
    </row>
    <row r="975" spans="1:62">
      <c r="A975" s="1">
        <v>780918662</v>
      </c>
      <c r="B975">
        <v>43</v>
      </c>
      <c r="C975" t="s">
        <v>73</v>
      </c>
      <c r="D975" t="s">
        <v>74</v>
      </c>
      <c r="E975" t="s">
        <v>103</v>
      </c>
      <c r="F975" t="s">
        <v>75</v>
      </c>
      <c r="G975" t="s">
        <v>60</v>
      </c>
      <c r="H975" t="s">
        <v>1169</v>
      </c>
      <c r="I975" t="s">
        <v>64</v>
      </c>
      <c r="J975" s="2">
        <v>141.63</v>
      </c>
      <c r="K975">
        <v>3</v>
      </c>
      <c r="L975" t="s">
        <v>85</v>
      </c>
      <c r="M975">
        <v>4</v>
      </c>
      <c r="N975">
        <v>1</v>
      </c>
      <c r="O975">
        <v>1</v>
      </c>
      <c r="P975" t="s">
        <v>66</v>
      </c>
      <c r="Q975" t="s">
        <v>67</v>
      </c>
      <c r="R975">
        <v>1</v>
      </c>
      <c r="S975">
        <v>8</v>
      </c>
      <c r="T975" t="s">
        <v>84</v>
      </c>
      <c r="U975" t="s">
        <v>90</v>
      </c>
      <c r="V975" t="s">
        <v>110</v>
      </c>
      <c r="W975" s="3">
        <v>45576</v>
      </c>
      <c r="X975" t="b">
        <v>1</v>
      </c>
      <c r="Y975" t="b">
        <v>1</v>
      </c>
      <c r="Z975" t="s">
        <v>102</v>
      </c>
      <c r="AA975" t="s">
        <v>97</v>
      </c>
      <c r="AB975">
        <v>11</v>
      </c>
      <c r="AO975" t="str">
        <f t="shared" si="49"/>
        <v>41-60</v>
      </c>
      <c r="BD975">
        <v>3</v>
      </c>
      <c r="BF975" cm="1">
        <f t="array" ref="BF975">CORREL(J975:J1975,S975:S1975)</f>
        <v>0.0975817803646946</v>
      </c>
      <c r="BH975">
        <v>8</v>
      </c>
      <c r="BI975">
        <f t="shared" si="52"/>
        <v>0.375</v>
      </c>
      <c r="BJ975">
        <f t="shared" si="51"/>
        <v>21.3333333333333</v>
      </c>
    </row>
    <row r="976" spans="1:62">
      <c r="A976" s="1">
        <v>627202922</v>
      </c>
      <c r="B976">
        <v>30</v>
      </c>
      <c r="C976" t="s">
        <v>73</v>
      </c>
      <c r="D976" t="s">
        <v>74</v>
      </c>
      <c r="E976" t="s">
        <v>98</v>
      </c>
      <c r="F976" t="s">
        <v>62</v>
      </c>
      <c r="G976" t="s">
        <v>74</v>
      </c>
      <c r="H976" t="s">
        <v>1170</v>
      </c>
      <c r="I976" t="s">
        <v>95</v>
      </c>
      <c r="J976" s="2">
        <v>244.47</v>
      </c>
      <c r="K976">
        <v>5</v>
      </c>
      <c r="L976" t="s">
        <v>85</v>
      </c>
      <c r="M976">
        <v>3</v>
      </c>
      <c r="N976">
        <v>4</v>
      </c>
      <c r="O976">
        <v>1</v>
      </c>
      <c r="P976" t="s">
        <v>74</v>
      </c>
      <c r="Q976" t="s">
        <v>109</v>
      </c>
      <c r="R976">
        <v>1</v>
      </c>
      <c r="S976">
        <v>5</v>
      </c>
      <c r="T976" t="s">
        <v>84</v>
      </c>
      <c r="U976" t="s">
        <v>90</v>
      </c>
      <c r="V976" t="s">
        <v>110</v>
      </c>
      <c r="W976" s="3">
        <v>45466</v>
      </c>
      <c r="X976" t="b">
        <v>0</v>
      </c>
      <c r="Y976" t="b">
        <v>0</v>
      </c>
      <c r="Z976" t="s">
        <v>92</v>
      </c>
      <c r="AA976" t="s">
        <v>71</v>
      </c>
      <c r="AB976">
        <v>4</v>
      </c>
      <c r="AO976" t="str">
        <f t="shared" si="49"/>
        <v>26-40</v>
      </c>
      <c r="BD976">
        <v>5</v>
      </c>
      <c r="BF976" cm="1">
        <f t="array" ref="BF976">CORREL(J976:J1976,S976:S1976)</f>
        <v>0.15985488486777</v>
      </c>
      <c r="BH976">
        <v>5</v>
      </c>
      <c r="BI976">
        <f t="shared" si="52"/>
        <v>1</v>
      </c>
      <c r="BJ976">
        <f t="shared" si="51"/>
        <v>5</v>
      </c>
    </row>
    <row r="977" spans="1:62">
      <c r="A977" s="1">
        <v>475283961</v>
      </c>
      <c r="B977">
        <v>24</v>
      </c>
      <c r="C977" t="s">
        <v>73</v>
      </c>
      <c r="D977" t="s">
        <v>74</v>
      </c>
      <c r="E977" t="s">
        <v>61</v>
      </c>
      <c r="F977" t="s">
        <v>87</v>
      </c>
      <c r="G977" t="s">
        <v>74</v>
      </c>
      <c r="H977" t="s">
        <v>1171</v>
      </c>
      <c r="I977" t="s">
        <v>64</v>
      </c>
      <c r="J977" s="2">
        <v>251.63</v>
      </c>
      <c r="K977">
        <v>9</v>
      </c>
      <c r="L977" t="s">
        <v>85</v>
      </c>
      <c r="M977">
        <v>3</v>
      </c>
      <c r="N977">
        <v>1</v>
      </c>
      <c r="O977">
        <v>0</v>
      </c>
      <c r="P977" t="s">
        <v>84</v>
      </c>
      <c r="Q977" t="s">
        <v>80</v>
      </c>
      <c r="R977">
        <v>0</v>
      </c>
      <c r="S977">
        <v>2</v>
      </c>
      <c r="T977" t="s">
        <v>74</v>
      </c>
      <c r="U977" t="s">
        <v>105</v>
      </c>
      <c r="V977" t="s">
        <v>69</v>
      </c>
      <c r="W977" s="3">
        <v>45527</v>
      </c>
      <c r="X977" t="b">
        <v>1</v>
      </c>
      <c r="Y977" t="b">
        <v>1</v>
      </c>
      <c r="Z977" t="s">
        <v>70</v>
      </c>
      <c r="AA977" t="s">
        <v>97</v>
      </c>
      <c r="AB977">
        <v>10</v>
      </c>
      <c r="AO977" t="str">
        <f t="shared" si="49"/>
        <v>18-25</v>
      </c>
      <c r="BD977">
        <v>9</v>
      </c>
      <c r="BF977" cm="1">
        <f t="array" ref="BF977">CORREL(J977:J1977,S977:S1977)</f>
        <v>0.161703650384579</v>
      </c>
      <c r="BH977">
        <v>2</v>
      </c>
      <c r="BI977">
        <f t="shared" si="52"/>
        <v>4.5</v>
      </c>
      <c r="BJ977">
        <f t="shared" si="51"/>
        <v>0.444444444444444</v>
      </c>
    </row>
    <row r="978" spans="1:62">
      <c r="A978" s="1">
        <v>218082293</v>
      </c>
      <c r="B978">
        <v>30</v>
      </c>
      <c r="C978" t="s">
        <v>73</v>
      </c>
      <c r="D978" t="s">
        <v>60</v>
      </c>
      <c r="E978" t="s">
        <v>103</v>
      </c>
      <c r="F978" t="s">
        <v>62</v>
      </c>
      <c r="G978" t="s">
        <v>60</v>
      </c>
      <c r="H978" t="s">
        <v>1172</v>
      </c>
      <c r="I978" t="s">
        <v>137</v>
      </c>
      <c r="J978" s="2">
        <v>431.78</v>
      </c>
      <c r="K978">
        <v>12</v>
      </c>
      <c r="L978" t="s">
        <v>85</v>
      </c>
      <c r="M978">
        <v>1</v>
      </c>
      <c r="N978">
        <v>3</v>
      </c>
      <c r="O978">
        <v>1</v>
      </c>
      <c r="P978" t="s">
        <v>79</v>
      </c>
      <c r="Q978" t="s">
        <v>109</v>
      </c>
      <c r="R978">
        <v>1</v>
      </c>
      <c r="S978">
        <v>8</v>
      </c>
      <c r="T978" t="s">
        <v>84</v>
      </c>
      <c r="U978" t="s">
        <v>90</v>
      </c>
      <c r="V978" t="s">
        <v>81</v>
      </c>
      <c r="W978" s="3">
        <v>45337</v>
      </c>
      <c r="X978" t="b">
        <v>1</v>
      </c>
      <c r="Y978" t="b">
        <v>0</v>
      </c>
      <c r="Z978" t="s">
        <v>92</v>
      </c>
      <c r="AA978" t="s">
        <v>71</v>
      </c>
      <c r="AB978">
        <v>7</v>
      </c>
      <c r="AO978" t="str">
        <f t="shared" si="49"/>
        <v>26-40</v>
      </c>
      <c r="BD978">
        <v>12</v>
      </c>
      <c r="BF978" cm="1">
        <f t="array" ref="BF978">CORREL(J978:J1978,S978:S1978)</f>
        <v>0.151113036574782</v>
      </c>
      <c r="BH978">
        <v>8</v>
      </c>
      <c r="BI978">
        <f t="shared" si="52"/>
        <v>1.5</v>
      </c>
      <c r="BJ978">
        <f t="shared" si="51"/>
        <v>5.33333333333333</v>
      </c>
    </row>
    <row r="979" spans="1:62">
      <c r="A979" s="1">
        <v>220229256</v>
      </c>
      <c r="B979">
        <v>37</v>
      </c>
      <c r="C979" t="s">
        <v>59</v>
      </c>
      <c r="D979" t="s">
        <v>60</v>
      </c>
      <c r="E979" t="s">
        <v>61</v>
      </c>
      <c r="F979" t="s">
        <v>87</v>
      </c>
      <c r="G979" t="s">
        <v>74</v>
      </c>
      <c r="H979" t="s">
        <v>1173</v>
      </c>
      <c r="I979" t="s">
        <v>209</v>
      </c>
      <c r="J979" s="2">
        <v>303.09</v>
      </c>
      <c r="K979">
        <v>2</v>
      </c>
      <c r="L979" t="s">
        <v>85</v>
      </c>
      <c r="M979">
        <v>2</v>
      </c>
      <c r="N979">
        <v>5</v>
      </c>
      <c r="O979">
        <v>1</v>
      </c>
      <c r="P979" t="s">
        <v>66</v>
      </c>
      <c r="Q979" t="s">
        <v>109</v>
      </c>
      <c r="R979">
        <v>2</v>
      </c>
      <c r="S979">
        <v>9</v>
      </c>
      <c r="T979" t="s">
        <v>66</v>
      </c>
      <c r="U979" t="s">
        <v>68</v>
      </c>
      <c r="V979" t="s">
        <v>96</v>
      </c>
      <c r="W979" s="3">
        <v>45301</v>
      </c>
      <c r="X979" t="b">
        <v>0</v>
      </c>
      <c r="Y979" t="b">
        <v>0</v>
      </c>
      <c r="Z979" t="s">
        <v>92</v>
      </c>
      <c r="AA979" t="s">
        <v>71</v>
      </c>
      <c r="AB979">
        <v>11</v>
      </c>
      <c r="AO979" t="str">
        <f t="shared" si="49"/>
        <v>26-40</v>
      </c>
      <c r="BD979">
        <v>2</v>
      </c>
      <c r="BF979" cm="1">
        <f t="array" ref="BF979">CORREL(J979:J1979,S979:S1979)</f>
        <v>0.100712196300091</v>
      </c>
      <c r="BH979">
        <v>9</v>
      </c>
      <c r="BI979">
        <f t="shared" si="52"/>
        <v>0.222222222222222</v>
      </c>
      <c r="BJ979">
        <f t="shared" si="51"/>
        <v>40.5</v>
      </c>
    </row>
    <row r="980" spans="1:62">
      <c r="A980" s="1">
        <v>967727220</v>
      </c>
      <c r="B980">
        <v>40</v>
      </c>
      <c r="C980" t="s">
        <v>73</v>
      </c>
      <c r="D980" t="s">
        <v>74</v>
      </c>
      <c r="E980" t="s">
        <v>61</v>
      </c>
      <c r="F980" t="s">
        <v>62</v>
      </c>
      <c r="G980" t="s">
        <v>74</v>
      </c>
      <c r="H980" t="s">
        <v>1174</v>
      </c>
      <c r="I980" t="s">
        <v>178</v>
      </c>
      <c r="J980" s="2">
        <v>341.24</v>
      </c>
      <c r="K980">
        <v>9</v>
      </c>
      <c r="L980" t="s">
        <v>65</v>
      </c>
      <c r="M980">
        <v>5</v>
      </c>
      <c r="N980">
        <v>5</v>
      </c>
      <c r="O980">
        <v>2</v>
      </c>
      <c r="P980" t="s">
        <v>84</v>
      </c>
      <c r="Q980" t="s">
        <v>67</v>
      </c>
      <c r="R980">
        <v>1</v>
      </c>
      <c r="S980">
        <v>3</v>
      </c>
      <c r="T980" t="s">
        <v>66</v>
      </c>
      <c r="U980" t="s">
        <v>68</v>
      </c>
      <c r="V980" t="s">
        <v>69</v>
      </c>
      <c r="W980" s="3">
        <v>45614</v>
      </c>
      <c r="X980" t="b">
        <v>1</v>
      </c>
      <c r="Y980" t="b">
        <v>0</v>
      </c>
      <c r="Z980" t="s">
        <v>70</v>
      </c>
      <c r="AA980" t="s">
        <v>83</v>
      </c>
      <c r="AB980">
        <v>4</v>
      </c>
      <c r="AO980" t="str">
        <f t="shared" si="49"/>
        <v>26-40</v>
      </c>
      <c r="BD980">
        <v>9</v>
      </c>
      <c r="BF980" cm="1">
        <f t="array" ref="BF980">CORREL(J980:J1980,S980:S1980)</f>
        <v>0.0988089844326731</v>
      </c>
      <c r="BH980">
        <v>3</v>
      </c>
      <c r="BI980">
        <f t="shared" si="52"/>
        <v>3</v>
      </c>
      <c r="BJ980">
        <f t="shared" si="51"/>
        <v>1</v>
      </c>
    </row>
    <row r="981" spans="1:62">
      <c r="A981" s="1">
        <v>258667286</v>
      </c>
      <c r="B981">
        <v>30</v>
      </c>
      <c r="C981" t="s">
        <v>59</v>
      </c>
      <c r="D981" t="s">
        <v>60</v>
      </c>
      <c r="E981" t="s">
        <v>103</v>
      </c>
      <c r="F981" t="s">
        <v>87</v>
      </c>
      <c r="G981" t="s">
        <v>74</v>
      </c>
      <c r="H981" t="s">
        <v>1175</v>
      </c>
      <c r="I981" t="s">
        <v>131</v>
      </c>
      <c r="J981" s="2">
        <v>211.39</v>
      </c>
      <c r="K981">
        <v>10</v>
      </c>
      <c r="L981" t="s">
        <v>85</v>
      </c>
      <c r="M981">
        <v>4</v>
      </c>
      <c r="N981">
        <v>5</v>
      </c>
      <c r="O981">
        <v>1</v>
      </c>
      <c r="P981" t="s">
        <v>79</v>
      </c>
      <c r="Q981" t="s">
        <v>80</v>
      </c>
      <c r="R981">
        <v>0</v>
      </c>
      <c r="S981">
        <v>1</v>
      </c>
      <c r="T981" t="s">
        <v>84</v>
      </c>
      <c r="U981" t="s">
        <v>105</v>
      </c>
      <c r="V981" t="s">
        <v>96</v>
      </c>
      <c r="W981" s="3">
        <v>45422</v>
      </c>
      <c r="X981" t="b">
        <v>1</v>
      </c>
      <c r="Y981" t="b">
        <v>0</v>
      </c>
      <c r="Z981" t="s">
        <v>102</v>
      </c>
      <c r="AA981" t="s">
        <v>97</v>
      </c>
      <c r="AB981">
        <v>1</v>
      </c>
      <c r="AO981" t="str">
        <f t="shared" si="49"/>
        <v>26-40</v>
      </c>
      <c r="BD981">
        <v>10</v>
      </c>
      <c r="BF981" cm="1">
        <f t="array" ref="BF981">CORREL(J981:J1981,S981:S1981)</f>
        <v>0.112588019458072</v>
      </c>
      <c r="BH981">
        <v>1</v>
      </c>
      <c r="BI981">
        <f t="shared" si="52"/>
        <v>10</v>
      </c>
      <c r="BJ981">
        <f t="shared" si="51"/>
        <v>0.1</v>
      </c>
    </row>
    <row r="982" spans="1:62">
      <c r="A982" s="1">
        <v>726944159</v>
      </c>
      <c r="B982">
        <v>39</v>
      </c>
      <c r="C982" t="s">
        <v>59</v>
      </c>
      <c r="D982" t="s">
        <v>60</v>
      </c>
      <c r="E982" t="s">
        <v>61</v>
      </c>
      <c r="F982" t="s">
        <v>62</v>
      </c>
      <c r="G982" t="s">
        <v>60</v>
      </c>
      <c r="H982" t="s">
        <v>805</v>
      </c>
      <c r="I982" t="s">
        <v>131</v>
      </c>
      <c r="J982" s="2">
        <v>379.21</v>
      </c>
      <c r="K982">
        <v>9</v>
      </c>
      <c r="L982" t="s">
        <v>65</v>
      </c>
      <c r="M982">
        <v>1</v>
      </c>
      <c r="N982">
        <v>5</v>
      </c>
      <c r="O982">
        <v>1</v>
      </c>
      <c r="P982" t="s">
        <v>84</v>
      </c>
      <c r="Q982" t="s">
        <v>67</v>
      </c>
      <c r="R982">
        <v>1</v>
      </c>
      <c r="S982">
        <v>1</v>
      </c>
      <c r="T982" t="s">
        <v>74</v>
      </c>
      <c r="U982" t="s">
        <v>90</v>
      </c>
      <c r="V982" t="s">
        <v>81</v>
      </c>
      <c r="W982" s="3">
        <v>45553</v>
      </c>
      <c r="X982" t="b">
        <v>1</v>
      </c>
      <c r="Y982" t="b">
        <v>1</v>
      </c>
      <c r="Z982" t="s">
        <v>92</v>
      </c>
      <c r="AA982" t="s">
        <v>71</v>
      </c>
      <c r="AB982">
        <v>1</v>
      </c>
      <c r="AO982" t="str">
        <f t="shared" si="49"/>
        <v>26-40</v>
      </c>
      <c r="BD982">
        <v>9</v>
      </c>
      <c r="BF982" cm="1">
        <f t="array" ref="BF982">CORREL(J982:J1982,S982:S1982)</f>
        <v>0.0766256730355623</v>
      </c>
      <c r="BH982">
        <v>1</v>
      </c>
      <c r="BI982">
        <f t="shared" si="52"/>
        <v>9</v>
      </c>
      <c r="BJ982">
        <f t="shared" si="51"/>
        <v>0.111111111111111</v>
      </c>
    </row>
    <row r="983" spans="1:62">
      <c r="A983" s="1">
        <v>100798237</v>
      </c>
      <c r="B983">
        <v>46</v>
      </c>
      <c r="C983" t="s">
        <v>59</v>
      </c>
      <c r="D983" t="s">
        <v>74</v>
      </c>
      <c r="E983" t="s">
        <v>98</v>
      </c>
      <c r="F983" t="s">
        <v>87</v>
      </c>
      <c r="G983" t="s">
        <v>74</v>
      </c>
      <c r="H983" t="s">
        <v>1176</v>
      </c>
      <c r="I983" t="s">
        <v>115</v>
      </c>
      <c r="J983" s="2">
        <v>309.53</v>
      </c>
      <c r="K983">
        <v>8</v>
      </c>
      <c r="L983" t="s">
        <v>65</v>
      </c>
      <c r="M983">
        <v>2</v>
      </c>
      <c r="N983">
        <v>1</v>
      </c>
      <c r="O983">
        <v>1</v>
      </c>
      <c r="P983" t="s">
        <v>66</v>
      </c>
      <c r="Q983" t="s">
        <v>109</v>
      </c>
      <c r="R983">
        <v>2</v>
      </c>
      <c r="S983">
        <v>6</v>
      </c>
      <c r="T983" t="s">
        <v>66</v>
      </c>
      <c r="U983" t="s">
        <v>90</v>
      </c>
      <c r="V983" t="s">
        <v>110</v>
      </c>
      <c r="W983" s="3">
        <v>45396</v>
      </c>
      <c r="X983" t="b">
        <v>0</v>
      </c>
      <c r="Y983" t="b">
        <v>1</v>
      </c>
      <c r="Z983" t="s">
        <v>102</v>
      </c>
      <c r="AA983" t="s">
        <v>83</v>
      </c>
      <c r="AB983">
        <v>5</v>
      </c>
      <c r="AO983" t="str">
        <f t="shared" si="49"/>
        <v>41-60</v>
      </c>
      <c r="BD983">
        <v>8</v>
      </c>
      <c r="BF983" cm="1">
        <f t="array" ref="BF983">CORREL(J983:J1983,S983:S1983)</f>
        <v>0.143600864345804</v>
      </c>
      <c r="BH983">
        <v>6</v>
      </c>
      <c r="BI983">
        <f t="shared" si="52"/>
        <v>1.33333333333333</v>
      </c>
      <c r="BJ983">
        <f t="shared" ref="BJ983:BJ1001" si="53">BH983/BI983</f>
        <v>4.5</v>
      </c>
    </row>
    <row r="984" spans="1:62">
      <c r="A984" s="1">
        <v>474608015</v>
      </c>
      <c r="B984">
        <v>48</v>
      </c>
      <c r="C984" t="s">
        <v>73</v>
      </c>
      <c r="D984" t="s">
        <v>60</v>
      </c>
      <c r="E984" t="s">
        <v>103</v>
      </c>
      <c r="F984" t="s">
        <v>87</v>
      </c>
      <c r="G984" t="s">
        <v>74</v>
      </c>
      <c r="H984" t="s">
        <v>1177</v>
      </c>
      <c r="I984" t="s">
        <v>107</v>
      </c>
      <c r="J984" s="2">
        <v>359.45</v>
      </c>
      <c r="K984">
        <v>6</v>
      </c>
      <c r="L984" t="s">
        <v>85</v>
      </c>
      <c r="M984">
        <v>4</v>
      </c>
      <c r="N984">
        <v>1</v>
      </c>
      <c r="O984">
        <v>2</v>
      </c>
      <c r="P984" t="s">
        <v>84</v>
      </c>
      <c r="Q984" t="s">
        <v>80</v>
      </c>
      <c r="R984">
        <v>1</v>
      </c>
      <c r="S984">
        <v>8</v>
      </c>
      <c r="T984" t="s">
        <v>79</v>
      </c>
      <c r="U984" t="s">
        <v>105</v>
      </c>
      <c r="V984" t="s">
        <v>96</v>
      </c>
      <c r="W984" s="3">
        <v>45357</v>
      </c>
      <c r="X984" t="b">
        <v>0</v>
      </c>
      <c r="Y984" t="b">
        <v>0</v>
      </c>
      <c r="Z984" t="s">
        <v>92</v>
      </c>
      <c r="AA984" t="s">
        <v>83</v>
      </c>
      <c r="AB984">
        <v>11</v>
      </c>
      <c r="AO984" t="str">
        <f t="shared" si="49"/>
        <v>41-60</v>
      </c>
      <c r="BD984">
        <v>6</v>
      </c>
      <c r="BF984" cm="1">
        <f t="array" ref="BF984">CORREL(J984:J1984,S984:S1984)</f>
        <v>0.140073996504363</v>
      </c>
      <c r="BH984">
        <v>8</v>
      </c>
      <c r="BI984">
        <f t="shared" si="52"/>
        <v>0.75</v>
      </c>
      <c r="BJ984">
        <f t="shared" si="53"/>
        <v>10.6666666666667</v>
      </c>
    </row>
    <row r="985" spans="1:62">
      <c r="A985" s="4" t="s">
        <v>1178</v>
      </c>
      <c r="B985">
        <v>20</v>
      </c>
      <c r="C985" t="s">
        <v>59</v>
      </c>
      <c r="D985" t="s">
        <v>74</v>
      </c>
      <c r="E985" t="s">
        <v>98</v>
      </c>
      <c r="F985" t="s">
        <v>75</v>
      </c>
      <c r="G985" t="s">
        <v>60</v>
      </c>
      <c r="H985" t="s">
        <v>1179</v>
      </c>
      <c r="I985" t="s">
        <v>124</v>
      </c>
      <c r="J985" s="2">
        <v>479.62</v>
      </c>
      <c r="K985">
        <v>8</v>
      </c>
      <c r="L985" t="s">
        <v>78</v>
      </c>
      <c r="M985">
        <v>3</v>
      </c>
      <c r="N985">
        <v>1</v>
      </c>
      <c r="O985">
        <v>2</v>
      </c>
      <c r="P985" t="s">
        <v>74</v>
      </c>
      <c r="Q985" t="s">
        <v>80</v>
      </c>
      <c r="R985">
        <v>1</v>
      </c>
      <c r="S985">
        <v>3</v>
      </c>
      <c r="T985" t="s">
        <v>84</v>
      </c>
      <c r="U985" t="s">
        <v>68</v>
      </c>
      <c r="V985" t="s">
        <v>96</v>
      </c>
      <c r="W985" s="3">
        <v>45401</v>
      </c>
      <c r="X985" t="b">
        <v>0</v>
      </c>
      <c r="Y985" t="b">
        <v>0</v>
      </c>
      <c r="Z985" t="s">
        <v>102</v>
      </c>
      <c r="AA985" t="s">
        <v>97</v>
      </c>
      <c r="AB985">
        <v>10</v>
      </c>
      <c r="AO985" t="str">
        <f t="shared" si="49"/>
        <v>18-25</v>
      </c>
      <c r="BD985">
        <v>8</v>
      </c>
      <c r="BF985" cm="1">
        <f t="array" ref="BF985">CORREL(J985:J1985,S985:S1985)</f>
        <v>0.104789632025476</v>
      </c>
      <c r="BH985">
        <v>3</v>
      </c>
      <c r="BI985">
        <f t="shared" si="52"/>
        <v>2.66666666666667</v>
      </c>
      <c r="BJ985">
        <f t="shared" si="53"/>
        <v>1.125</v>
      </c>
    </row>
    <row r="986" spans="1:62">
      <c r="A986" s="1">
        <v>804872550</v>
      </c>
      <c r="B986">
        <v>34</v>
      </c>
      <c r="C986" t="s">
        <v>73</v>
      </c>
      <c r="D986" t="s">
        <v>74</v>
      </c>
      <c r="E986" t="s">
        <v>61</v>
      </c>
      <c r="F986" t="s">
        <v>62</v>
      </c>
      <c r="G986" t="s">
        <v>60</v>
      </c>
      <c r="H986" t="s">
        <v>1180</v>
      </c>
      <c r="I986" t="s">
        <v>131</v>
      </c>
      <c r="J986" s="2">
        <v>208.6</v>
      </c>
      <c r="K986">
        <v>2</v>
      </c>
      <c r="L986" t="s">
        <v>65</v>
      </c>
      <c r="M986">
        <v>5</v>
      </c>
      <c r="N986">
        <v>1</v>
      </c>
      <c r="O986">
        <v>2</v>
      </c>
      <c r="P986" t="s">
        <v>66</v>
      </c>
      <c r="Q986" t="s">
        <v>67</v>
      </c>
      <c r="R986">
        <v>0</v>
      </c>
      <c r="S986">
        <v>5</v>
      </c>
      <c r="T986" t="s">
        <v>74</v>
      </c>
      <c r="U986" t="s">
        <v>90</v>
      </c>
      <c r="V986" t="s">
        <v>69</v>
      </c>
      <c r="W986" s="3">
        <v>45351</v>
      </c>
      <c r="X986" t="b">
        <v>1</v>
      </c>
      <c r="Y986" t="b">
        <v>1</v>
      </c>
      <c r="Z986" t="s">
        <v>92</v>
      </c>
      <c r="AA986" t="s">
        <v>83</v>
      </c>
      <c r="AB986">
        <v>3</v>
      </c>
      <c r="AO986" t="str">
        <f t="shared" si="49"/>
        <v>26-40</v>
      </c>
      <c r="BD986">
        <v>2</v>
      </c>
      <c r="BF986" cm="1">
        <f t="array" ref="BF986">CORREL(J986:J1986,S986:S1986)</f>
        <v>0.187479275764221</v>
      </c>
      <c r="BH986">
        <v>5</v>
      </c>
      <c r="BI986">
        <f t="shared" si="52"/>
        <v>0.4</v>
      </c>
      <c r="BJ986">
        <f t="shared" si="53"/>
        <v>12.5</v>
      </c>
    </row>
    <row r="987" spans="1:62">
      <c r="A987" s="1">
        <v>236172637</v>
      </c>
      <c r="B987">
        <v>50</v>
      </c>
      <c r="C987" t="s">
        <v>59</v>
      </c>
      <c r="D987" t="s">
        <v>60</v>
      </c>
      <c r="E987" t="s">
        <v>86</v>
      </c>
      <c r="F987" t="s">
        <v>87</v>
      </c>
      <c r="G987" t="s">
        <v>74</v>
      </c>
      <c r="H987" t="s">
        <v>1181</v>
      </c>
      <c r="I987" t="s">
        <v>133</v>
      </c>
      <c r="J987" s="2">
        <v>180.21</v>
      </c>
      <c r="K987">
        <v>2</v>
      </c>
      <c r="L987" t="s">
        <v>65</v>
      </c>
      <c r="M987">
        <v>5</v>
      </c>
      <c r="N987">
        <v>5</v>
      </c>
      <c r="O987">
        <v>0</v>
      </c>
      <c r="P987" t="s">
        <v>66</v>
      </c>
      <c r="Q987" t="s">
        <v>109</v>
      </c>
      <c r="R987">
        <v>1</v>
      </c>
      <c r="S987">
        <v>1</v>
      </c>
      <c r="T987" t="s">
        <v>79</v>
      </c>
      <c r="U987" t="s">
        <v>105</v>
      </c>
      <c r="V987" t="s">
        <v>110</v>
      </c>
      <c r="W987" s="3">
        <v>45313</v>
      </c>
      <c r="X987" t="b">
        <v>0</v>
      </c>
      <c r="Y987" t="b">
        <v>1</v>
      </c>
      <c r="Z987" t="s">
        <v>70</v>
      </c>
      <c r="AA987" t="s">
        <v>97</v>
      </c>
      <c r="AB987">
        <v>14</v>
      </c>
      <c r="AO987" t="str">
        <f t="shared" si="49"/>
        <v>41-60</v>
      </c>
      <c r="BD987">
        <v>2</v>
      </c>
      <c r="BF987" cm="1">
        <f t="array" ref="BF987">CORREL(J987:J1987,S987:S1987)</f>
        <v>0.190076319109093</v>
      </c>
      <c r="BH987">
        <v>1</v>
      </c>
      <c r="BI987">
        <f t="shared" si="52"/>
        <v>2</v>
      </c>
      <c r="BJ987">
        <f t="shared" si="53"/>
        <v>0.5</v>
      </c>
    </row>
    <row r="988" spans="1:62">
      <c r="A988" s="1">
        <v>600055187</v>
      </c>
      <c r="B988">
        <v>25</v>
      </c>
      <c r="C988" t="s">
        <v>73</v>
      </c>
      <c r="D988" t="s">
        <v>60</v>
      </c>
      <c r="E988" t="s">
        <v>86</v>
      </c>
      <c r="F988" t="s">
        <v>75</v>
      </c>
      <c r="G988" t="s">
        <v>74</v>
      </c>
      <c r="H988" t="s">
        <v>1182</v>
      </c>
      <c r="I988" t="s">
        <v>131</v>
      </c>
      <c r="J988" s="2">
        <v>197.9</v>
      </c>
      <c r="K988">
        <v>3</v>
      </c>
      <c r="L988" t="s">
        <v>65</v>
      </c>
      <c r="M988">
        <v>2</v>
      </c>
      <c r="N988">
        <v>1</v>
      </c>
      <c r="O988">
        <v>2</v>
      </c>
      <c r="P988" t="s">
        <v>79</v>
      </c>
      <c r="Q988" t="s">
        <v>80</v>
      </c>
      <c r="R988">
        <v>0</v>
      </c>
      <c r="S988">
        <v>8</v>
      </c>
      <c r="T988" t="s">
        <v>74</v>
      </c>
      <c r="U988" t="s">
        <v>105</v>
      </c>
      <c r="V988" t="s">
        <v>91</v>
      </c>
      <c r="W988" s="3">
        <v>45309</v>
      </c>
      <c r="X988" t="b">
        <v>1</v>
      </c>
      <c r="Y988" t="b">
        <v>1</v>
      </c>
      <c r="Z988" t="s">
        <v>82</v>
      </c>
      <c r="AA988" t="s">
        <v>83</v>
      </c>
      <c r="AB988">
        <v>14</v>
      </c>
      <c r="AO988" t="str">
        <f t="shared" ref="AO988:AO1001" si="54">IF(B988&lt;=25,"18-25",IF(B988&lt;=40,"26-40",IF(B988&lt;=60,"41-60","Above60")))</f>
        <v>18-25</v>
      </c>
      <c r="BD988">
        <v>3</v>
      </c>
      <c r="BF988" cm="1">
        <f t="array" ref="BF988">CORREL(J988:J1988,S988:S1988)</f>
        <v>0.131915672593879</v>
      </c>
      <c r="BH988">
        <v>8</v>
      </c>
      <c r="BI988">
        <f t="shared" si="52"/>
        <v>0.375</v>
      </c>
      <c r="BJ988">
        <f t="shared" si="53"/>
        <v>21.3333333333333</v>
      </c>
    </row>
    <row r="989" spans="1:62">
      <c r="A989" s="1">
        <v>243715870</v>
      </c>
      <c r="B989">
        <v>49</v>
      </c>
      <c r="C989" t="s">
        <v>73</v>
      </c>
      <c r="D989" t="s">
        <v>60</v>
      </c>
      <c r="E989" t="s">
        <v>86</v>
      </c>
      <c r="F989" t="s">
        <v>62</v>
      </c>
      <c r="G989" t="s">
        <v>74</v>
      </c>
      <c r="H989" t="s">
        <v>1183</v>
      </c>
      <c r="I989" t="s">
        <v>95</v>
      </c>
      <c r="J989" s="2">
        <v>362.3</v>
      </c>
      <c r="K989">
        <v>7</v>
      </c>
      <c r="L989" t="s">
        <v>85</v>
      </c>
      <c r="M989">
        <v>4</v>
      </c>
      <c r="N989">
        <v>2</v>
      </c>
      <c r="O989">
        <v>0.2</v>
      </c>
      <c r="P989" t="s">
        <v>84</v>
      </c>
      <c r="Q989" t="s">
        <v>80</v>
      </c>
      <c r="R989">
        <v>0</v>
      </c>
      <c r="S989">
        <v>4</v>
      </c>
      <c r="T989" t="s">
        <v>84</v>
      </c>
      <c r="U989" t="s">
        <v>68</v>
      </c>
      <c r="V989" t="s">
        <v>96</v>
      </c>
      <c r="W989" s="3">
        <v>45565</v>
      </c>
      <c r="X989" t="b">
        <v>1</v>
      </c>
      <c r="Y989" t="b">
        <v>1</v>
      </c>
      <c r="Z989" t="s">
        <v>102</v>
      </c>
      <c r="AA989" t="s">
        <v>83</v>
      </c>
      <c r="AB989">
        <v>6</v>
      </c>
      <c r="AO989" t="str">
        <f t="shared" si="54"/>
        <v>41-60</v>
      </c>
      <c r="BD989">
        <v>7</v>
      </c>
      <c r="BF989" cm="1">
        <f t="array" ref="BF989">CORREL(J989:J1989,S989:S1989)</f>
        <v>0.201069506631356</v>
      </c>
      <c r="BH989">
        <v>4</v>
      </c>
      <c r="BI989">
        <f t="shared" si="52"/>
        <v>1.75</v>
      </c>
      <c r="BJ989">
        <f t="shared" si="53"/>
        <v>2.28571428571429</v>
      </c>
    </row>
    <row r="990" spans="1:62">
      <c r="A990" s="4" t="s">
        <v>1184</v>
      </c>
      <c r="B990">
        <v>25</v>
      </c>
      <c r="C990" t="s">
        <v>59</v>
      </c>
      <c r="D990" t="s">
        <v>74</v>
      </c>
      <c r="E990" t="s">
        <v>103</v>
      </c>
      <c r="F990" t="s">
        <v>62</v>
      </c>
      <c r="G990" t="s">
        <v>74</v>
      </c>
      <c r="H990" t="s">
        <v>1185</v>
      </c>
      <c r="I990" t="s">
        <v>147</v>
      </c>
      <c r="J990" s="2">
        <v>159.53</v>
      </c>
      <c r="K990">
        <v>11</v>
      </c>
      <c r="L990" t="s">
        <v>65</v>
      </c>
      <c r="M990">
        <v>3</v>
      </c>
      <c r="N990">
        <v>4</v>
      </c>
      <c r="O990">
        <v>2</v>
      </c>
      <c r="P990" t="s">
        <v>84</v>
      </c>
      <c r="Q990" t="s">
        <v>109</v>
      </c>
      <c r="R990">
        <v>0</v>
      </c>
      <c r="S990">
        <v>3</v>
      </c>
      <c r="T990" t="s">
        <v>84</v>
      </c>
      <c r="U990" t="s">
        <v>105</v>
      </c>
      <c r="V990" t="s">
        <v>110</v>
      </c>
      <c r="W990" s="3">
        <v>45409</v>
      </c>
      <c r="X990" t="b">
        <v>1</v>
      </c>
      <c r="Y990" t="b">
        <v>1</v>
      </c>
      <c r="Z990" t="s">
        <v>92</v>
      </c>
      <c r="AA990" t="s">
        <v>97</v>
      </c>
      <c r="AB990">
        <v>7</v>
      </c>
      <c r="AO990" t="str">
        <f t="shared" si="54"/>
        <v>18-25</v>
      </c>
      <c r="BD990">
        <v>11</v>
      </c>
      <c r="BF990" cm="1">
        <f t="array" ref="BF990">CORREL(J990:J1990,S990:S1990)</f>
        <v>0.224629529801491</v>
      </c>
      <c r="BH990">
        <v>3</v>
      </c>
      <c r="BI990">
        <f t="shared" si="52"/>
        <v>3.66666666666667</v>
      </c>
      <c r="BJ990">
        <f t="shared" si="53"/>
        <v>0.818181818181818</v>
      </c>
    </row>
    <row r="991" spans="1:62">
      <c r="A991" s="1">
        <v>542385459</v>
      </c>
      <c r="B991">
        <v>40</v>
      </c>
      <c r="C991" t="s">
        <v>59</v>
      </c>
      <c r="D991" t="s">
        <v>74</v>
      </c>
      <c r="E991" t="s">
        <v>98</v>
      </c>
      <c r="F991" t="s">
        <v>75</v>
      </c>
      <c r="G991" t="s">
        <v>74</v>
      </c>
      <c r="H991" t="s">
        <v>1186</v>
      </c>
      <c r="I991" t="s">
        <v>209</v>
      </c>
      <c r="J991" s="2">
        <v>149.52</v>
      </c>
      <c r="K991">
        <v>9</v>
      </c>
      <c r="L991" t="s">
        <v>78</v>
      </c>
      <c r="M991">
        <v>2</v>
      </c>
      <c r="N991">
        <v>5</v>
      </c>
      <c r="O991">
        <v>1</v>
      </c>
      <c r="P991" t="s">
        <v>66</v>
      </c>
      <c r="Q991" t="s">
        <v>67</v>
      </c>
      <c r="R991">
        <v>0</v>
      </c>
      <c r="S991">
        <v>6</v>
      </c>
      <c r="T991" t="s">
        <v>66</v>
      </c>
      <c r="U991" t="s">
        <v>90</v>
      </c>
      <c r="V991" t="s">
        <v>110</v>
      </c>
      <c r="W991" s="3">
        <v>45361</v>
      </c>
      <c r="X991" t="b">
        <v>0</v>
      </c>
      <c r="Y991" t="b">
        <v>0</v>
      </c>
      <c r="Z991" t="s">
        <v>82</v>
      </c>
      <c r="AA991" t="s">
        <v>71</v>
      </c>
      <c r="AB991">
        <v>8</v>
      </c>
      <c r="AO991" t="str">
        <f t="shared" si="54"/>
        <v>26-40</v>
      </c>
      <c r="BD991">
        <v>9</v>
      </c>
      <c r="BF991" cm="1">
        <f t="array" ref="BF991">CORREL(J991:J1991,S991:S1991)</f>
        <v>0.173442276697937</v>
      </c>
      <c r="BH991">
        <v>6</v>
      </c>
      <c r="BI991">
        <f t="shared" si="52"/>
        <v>1.5</v>
      </c>
      <c r="BJ991">
        <f t="shared" si="53"/>
        <v>4</v>
      </c>
    </row>
    <row r="992" spans="1:62">
      <c r="A992" s="1">
        <v>859220190</v>
      </c>
      <c r="B992">
        <v>19</v>
      </c>
      <c r="C992" t="s">
        <v>59</v>
      </c>
      <c r="D992" t="s">
        <v>74</v>
      </c>
      <c r="E992" t="s">
        <v>98</v>
      </c>
      <c r="F992" t="s">
        <v>62</v>
      </c>
      <c r="G992" t="s">
        <v>74</v>
      </c>
      <c r="H992" t="s">
        <v>1187</v>
      </c>
      <c r="I992" t="s">
        <v>137</v>
      </c>
      <c r="J992" s="2">
        <v>206.32</v>
      </c>
      <c r="K992">
        <v>5</v>
      </c>
      <c r="L992" t="s">
        <v>85</v>
      </c>
      <c r="M992">
        <v>3</v>
      </c>
      <c r="N992">
        <v>3</v>
      </c>
      <c r="O992">
        <v>1</v>
      </c>
      <c r="P992" t="s">
        <v>84</v>
      </c>
      <c r="Q992" t="s">
        <v>80</v>
      </c>
      <c r="R992">
        <v>0</v>
      </c>
      <c r="S992">
        <v>4</v>
      </c>
      <c r="T992" t="s">
        <v>66</v>
      </c>
      <c r="U992" t="s">
        <v>105</v>
      </c>
      <c r="V992" t="s">
        <v>81</v>
      </c>
      <c r="W992" s="3">
        <v>45577</v>
      </c>
      <c r="X992" t="b">
        <v>1</v>
      </c>
      <c r="Y992" t="b">
        <v>0</v>
      </c>
      <c r="Z992" t="s">
        <v>82</v>
      </c>
      <c r="AA992" t="s">
        <v>97</v>
      </c>
      <c r="AB992">
        <v>12</v>
      </c>
      <c r="AO992" t="str">
        <f t="shared" si="54"/>
        <v>18-25</v>
      </c>
      <c r="BD992">
        <v>5</v>
      </c>
      <c r="BF992" cm="1">
        <f t="array" ref="BF992">CORREL(J992:J1992,S992:S1992)</f>
        <v>0.21541173121318</v>
      </c>
      <c r="BH992">
        <v>4</v>
      </c>
      <c r="BI992">
        <f t="shared" si="52"/>
        <v>1.25</v>
      </c>
      <c r="BJ992">
        <f t="shared" si="53"/>
        <v>3.2</v>
      </c>
    </row>
    <row r="993" spans="1:62">
      <c r="A993" s="1">
        <v>482711908</v>
      </c>
      <c r="B993">
        <v>40</v>
      </c>
      <c r="C993" t="s">
        <v>111</v>
      </c>
      <c r="D993" t="s">
        <v>74</v>
      </c>
      <c r="E993" t="s">
        <v>86</v>
      </c>
      <c r="F993" t="s">
        <v>62</v>
      </c>
      <c r="G993" t="s">
        <v>74</v>
      </c>
      <c r="H993" t="s">
        <v>1188</v>
      </c>
      <c r="I993" t="s">
        <v>135</v>
      </c>
      <c r="J993" s="2">
        <v>308.58</v>
      </c>
      <c r="K993">
        <v>11</v>
      </c>
      <c r="L993" t="s">
        <v>85</v>
      </c>
      <c r="M993">
        <v>2</v>
      </c>
      <c r="N993">
        <v>5</v>
      </c>
      <c r="O993">
        <v>2</v>
      </c>
      <c r="P993" t="s">
        <v>79</v>
      </c>
      <c r="Q993" t="s">
        <v>80</v>
      </c>
      <c r="R993">
        <v>0</v>
      </c>
      <c r="S993">
        <v>7</v>
      </c>
      <c r="T993" t="s">
        <v>79</v>
      </c>
      <c r="U993" t="s">
        <v>90</v>
      </c>
      <c r="V993" t="s">
        <v>91</v>
      </c>
      <c r="W993" s="3">
        <v>45433</v>
      </c>
      <c r="X993" t="b">
        <v>0</v>
      </c>
      <c r="Y993" t="b">
        <v>1</v>
      </c>
      <c r="Z993" t="s">
        <v>70</v>
      </c>
      <c r="AA993" t="s">
        <v>97</v>
      </c>
      <c r="AB993">
        <v>12</v>
      </c>
      <c r="AO993" t="str">
        <f t="shared" si="54"/>
        <v>26-40</v>
      </c>
      <c r="BD993">
        <v>11</v>
      </c>
      <c r="BF993" cm="1">
        <f t="array" ref="BF993">CORREL(J993:J1993,S993:S1993)</f>
        <v>0.190111871272664</v>
      </c>
      <c r="BH993">
        <v>7</v>
      </c>
      <c r="BI993">
        <f t="shared" si="52"/>
        <v>1.57142857142857</v>
      </c>
      <c r="BJ993">
        <f t="shared" si="53"/>
        <v>4.45454545454546</v>
      </c>
    </row>
    <row r="994" spans="1:62">
      <c r="A994" s="1">
        <v>469783874</v>
      </c>
      <c r="B994">
        <v>22</v>
      </c>
      <c r="C994" t="s">
        <v>59</v>
      </c>
      <c r="D994" t="s">
        <v>74</v>
      </c>
      <c r="E994" t="s">
        <v>86</v>
      </c>
      <c r="F994" t="s">
        <v>75</v>
      </c>
      <c r="G994" t="s">
        <v>60</v>
      </c>
      <c r="H994" t="s">
        <v>1189</v>
      </c>
      <c r="I994" t="s">
        <v>156</v>
      </c>
      <c r="J994" s="2">
        <v>91.34</v>
      </c>
      <c r="K994">
        <v>5</v>
      </c>
      <c r="L994" t="s">
        <v>85</v>
      </c>
      <c r="M994">
        <v>2</v>
      </c>
      <c r="N994">
        <v>1</v>
      </c>
      <c r="O994">
        <v>1</v>
      </c>
      <c r="P994" t="s">
        <v>66</v>
      </c>
      <c r="Q994" t="s">
        <v>80</v>
      </c>
      <c r="R994">
        <v>0</v>
      </c>
      <c r="S994">
        <v>1</v>
      </c>
      <c r="T994" t="s">
        <v>66</v>
      </c>
      <c r="U994" t="s">
        <v>90</v>
      </c>
      <c r="V994" t="s">
        <v>91</v>
      </c>
      <c r="W994" s="3">
        <v>45301</v>
      </c>
      <c r="X994" t="b">
        <v>1</v>
      </c>
      <c r="Y994" t="b">
        <v>1</v>
      </c>
      <c r="Z994" t="s">
        <v>92</v>
      </c>
      <c r="AA994" t="s">
        <v>97</v>
      </c>
      <c r="AB994">
        <v>6</v>
      </c>
      <c r="AO994" t="str">
        <f t="shared" si="54"/>
        <v>18-25</v>
      </c>
      <c r="BD994">
        <v>5</v>
      </c>
      <c r="BF994" cm="1">
        <f t="array" ref="BF994">CORREL(J994:J1994,S994:S1994)</f>
        <v>0.198185512654934</v>
      </c>
      <c r="BH994">
        <v>1</v>
      </c>
      <c r="BI994">
        <f t="shared" si="52"/>
        <v>5</v>
      </c>
      <c r="BJ994">
        <f t="shared" si="53"/>
        <v>0.2</v>
      </c>
    </row>
    <row r="995" spans="1:62">
      <c r="A995" s="1">
        <v>535957635</v>
      </c>
      <c r="B995">
        <v>25</v>
      </c>
      <c r="C995" t="s">
        <v>59</v>
      </c>
      <c r="D995" t="s">
        <v>74</v>
      </c>
      <c r="E995" t="s">
        <v>103</v>
      </c>
      <c r="F995" t="s">
        <v>75</v>
      </c>
      <c r="G995" t="s">
        <v>60</v>
      </c>
      <c r="H995" t="s">
        <v>1190</v>
      </c>
      <c r="I995" t="s">
        <v>118</v>
      </c>
      <c r="J995" s="2">
        <v>455.44</v>
      </c>
      <c r="K995">
        <v>7</v>
      </c>
      <c r="L995" t="s">
        <v>65</v>
      </c>
      <c r="M995">
        <v>4</v>
      </c>
      <c r="N995">
        <v>2</v>
      </c>
      <c r="O995">
        <v>1</v>
      </c>
      <c r="P995" t="s">
        <v>84</v>
      </c>
      <c r="Q995" t="s">
        <v>109</v>
      </c>
      <c r="R995">
        <v>2</v>
      </c>
      <c r="S995">
        <v>3</v>
      </c>
      <c r="T995" t="s">
        <v>84</v>
      </c>
      <c r="U995" t="s">
        <v>90</v>
      </c>
      <c r="V995" t="s">
        <v>96</v>
      </c>
      <c r="W995" s="3">
        <v>45419</v>
      </c>
      <c r="X995" t="b">
        <v>0</v>
      </c>
      <c r="Y995" t="b">
        <v>0</v>
      </c>
      <c r="Z995" t="s">
        <v>70</v>
      </c>
      <c r="AA995" t="s">
        <v>71</v>
      </c>
      <c r="AB995">
        <v>3</v>
      </c>
      <c r="AO995" t="str">
        <f t="shared" si="54"/>
        <v>18-25</v>
      </c>
      <c r="BD995">
        <v>7</v>
      </c>
      <c r="BF995" cm="1">
        <f t="array" ref="BF995">CORREL(J995:J1995,S995:S1995)</f>
        <v>-0.138976150827317</v>
      </c>
      <c r="BH995">
        <v>3</v>
      </c>
      <c r="BI995">
        <f t="shared" si="52"/>
        <v>2.33333333333333</v>
      </c>
      <c r="BJ995">
        <f t="shared" si="53"/>
        <v>1.28571428571429</v>
      </c>
    </row>
    <row r="996" spans="1:62">
      <c r="A996" s="4" t="s">
        <v>1191</v>
      </c>
      <c r="B996">
        <v>32</v>
      </c>
      <c r="C996" t="s">
        <v>59</v>
      </c>
      <c r="D996" t="s">
        <v>74</v>
      </c>
      <c r="E996" t="s">
        <v>103</v>
      </c>
      <c r="F996" t="s">
        <v>87</v>
      </c>
      <c r="G996" t="s">
        <v>60</v>
      </c>
      <c r="H996" t="s">
        <v>1192</v>
      </c>
      <c r="I996" t="s">
        <v>135</v>
      </c>
      <c r="J996" s="2">
        <v>468.16</v>
      </c>
      <c r="K996">
        <v>8</v>
      </c>
      <c r="L996" t="s">
        <v>85</v>
      </c>
      <c r="M996">
        <v>3</v>
      </c>
      <c r="N996">
        <v>5</v>
      </c>
      <c r="O996">
        <v>1</v>
      </c>
      <c r="P996" t="s">
        <v>84</v>
      </c>
      <c r="Q996" t="s">
        <v>67</v>
      </c>
      <c r="R996">
        <v>1</v>
      </c>
      <c r="S996">
        <v>5</v>
      </c>
      <c r="T996" t="s">
        <v>74</v>
      </c>
      <c r="U996" t="s">
        <v>105</v>
      </c>
      <c r="V996" t="s">
        <v>69</v>
      </c>
      <c r="W996" s="3">
        <v>45313</v>
      </c>
      <c r="X996" t="b">
        <v>0</v>
      </c>
      <c r="Y996" t="b">
        <v>0</v>
      </c>
      <c r="Z996" t="s">
        <v>102</v>
      </c>
      <c r="AA996" t="s">
        <v>83</v>
      </c>
      <c r="AB996">
        <v>2</v>
      </c>
      <c r="AO996" t="str">
        <f t="shared" si="54"/>
        <v>26-40</v>
      </c>
      <c r="BD996">
        <v>8</v>
      </c>
      <c r="BF996" cm="1">
        <f t="array" ref="BF996">CORREL(J996:J1996,S996:S1996)</f>
        <v>0.00628570815378255</v>
      </c>
      <c r="BH996">
        <v>5</v>
      </c>
      <c r="BI996">
        <f t="shared" si="52"/>
        <v>1.6</v>
      </c>
      <c r="BJ996">
        <f t="shared" si="53"/>
        <v>3.125</v>
      </c>
    </row>
    <row r="997" spans="1:62">
      <c r="A997" s="1">
        <v>205622569</v>
      </c>
      <c r="B997">
        <v>44</v>
      </c>
      <c r="C997" t="s">
        <v>59</v>
      </c>
      <c r="D997" t="s">
        <v>74</v>
      </c>
      <c r="E997" t="s">
        <v>103</v>
      </c>
      <c r="F997" t="s">
        <v>62</v>
      </c>
      <c r="G997" t="s">
        <v>74</v>
      </c>
      <c r="H997" t="s">
        <v>1193</v>
      </c>
      <c r="I997" t="s">
        <v>115</v>
      </c>
      <c r="J997" s="2">
        <v>463.67</v>
      </c>
      <c r="K997">
        <v>5</v>
      </c>
      <c r="L997" t="s">
        <v>85</v>
      </c>
      <c r="M997">
        <v>2</v>
      </c>
      <c r="N997">
        <v>4</v>
      </c>
      <c r="O997">
        <v>0.3</v>
      </c>
      <c r="P997" t="s">
        <v>74</v>
      </c>
      <c r="Q997" t="s">
        <v>80</v>
      </c>
      <c r="R997">
        <v>2</v>
      </c>
      <c r="S997">
        <v>4</v>
      </c>
      <c r="T997" t="s">
        <v>66</v>
      </c>
      <c r="U997" t="s">
        <v>68</v>
      </c>
      <c r="V997" t="s">
        <v>81</v>
      </c>
      <c r="W997" s="3">
        <v>45480</v>
      </c>
      <c r="X997" t="b">
        <v>1</v>
      </c>
      <c r="Y997" t="b">
        <v>0</v>
      </c>
      <c r="Z997" t="s">
        <v>70</v>
      </c>
      <c r="AA997" t="s">
        <v>83</v>
      </c>
      <c r="AB997">
        <v>5</v>
      </c>
      <c r="AO997" t="str">
        <f t="shared" si="54"/>
        <v>41-60</v>
      </c>
      <c r="BD997">
        <v>5</v>
      </c>
      <c r="BF997" cm="1">
        <f t="array" ref="BF997">CORREL(J997:J1997,S997:S1997)</f>
        <v>0.106471302446385</v>
      </c>
      <c r="BH997">
        <v>4</v>
      </c>
      <c r="BI997">
        <f t="shared" si="52"/>
        <v>1.25</v>
      </c>
      <c r="BJ997">
        <f t="shared" si="53"/>
        <v>3.2</v>
      </c>
    </row>
    <row r="998" spans="1:62">
      <c r="A998" s="1">
        <v>413664205</v>
      </c>
      <c r="B998">
        <v>50</v>
      </c>
      <c r="C998" t="s">
        <v>59</v>
      </c>
      <c r="D998" t="s">
        <v>74</v>
      </c>
      <c r="E998" t="s">
        <v>86</v>
      </c>
      <c r="F998" t="s">
        <v>75</v>
      </c>
      <c r="G998" t="s">
        <v>60</v>
      </c>
      <c r="H998" t="s">
        <v>1194</v>
      </c>
      <c r="I998" t="s">
        <v>64</v>
      </c>
      <c r="J998" s="2">
        <v>69.78</v>
      </c>
      <c r="K998">
        <v>9</v>
      </c>
      <c r="L998" t="s">
        <v>65</v>
      </c>
      <c r="M998">
        <v>4</v>
      </c>
      <c r="N998">
        <v>3</v>
      </c>
      <c r="O998">
        <v>2</v>
      </c>
      <c r="P998" t="s">
        <v>84</v>
      </c>
      <c r="Q998" t="s">
        <v>109</v>
      </c>
      <c r="R998">
        <v>0</v>
      </c>
      <c r="S998">
        <v>6</v>
      </c>
      <c r="T998" t="s">
        <v>84</v>
      </c>
      <c r="U998" t="s">
        <v>68</v>
      </c>
      <c r="V998" t="s">
        <v>110</v>
      </c>
      <c r="W998" s="3">
        <v>45379</v>
      </c>
      <c r="X998" t="b">
        <v>1</v>
      </c>
      <c r="Y998" t="b">
        <v>0</v>
      </c>
      <c r="Z998" t="s">
        <v>82</v>
      </c>
      <c r="AA998" t="s">
        <v>71</v>
      </c>
      <c r="AB998">
        <v>9</v>
      </c>
      <c r="AO998" t="str">
        <f t="shared" si="54"/>
        <v>41-60</v>
      </c>
      <c r="BD998">
        <v>9</v>
      </c>
      <c r="BF998" cm="1">
        <f t="array" ref="BF998">CORREL(J998:J1998,S998:S1998)</f>
        <v>0.509429760493004</v>
      </c>
      <c r="BH998">
        <v>6</v>
      </c>
      <c r="BI998">
        <f t="shared" si="52"/>
        <v>1.5</v>
      </c>
      <c r="BJ998">
        <f t="shared" si="53"/>
        <v>4</v>
      </c>
    </row>
    <row r="999" spans="1:62">
      <c r="A999" s="1">
        <v>772417621</v>
      </c>
      <c r="B999">
        <v>26</v>
      </c>
      <c r="C999" t="s">
        <v>73</v>
      </c>
      <c r="D999" t="s">
        <v>74</v>
      </c>
      <c r="E999" t="s">
        <v>61</v>
      </c>
      <c r="F999" t="s">
        <v>62</v>
      </c>
      <c r="G999" t="s">
        <v>74</v>
      </c>
      <c r="H999" t="s">
        <v>1195</v>
      </c>
      <c r="I999" t="s">
        <v>77</v>
      </c>
      <c r="J999" s="2">
        <v>453.37</v>
      </c>
      <c r="K999">
        <v>10</v>
      </c>
      <c r="L999" t="s">
        <v>65</v>
      </c>
      <c r="M999">
        <v>1</v>
      </c>
      <c r="N999">
        <v>1</v>
      </c>
      <c r="O999">
        <v>2</v>
      </c>
      <c r="P999" t="s">
        <v>84</v>
      </c>
      <c r="Q999" t="s">
        <v>109</v>
      </c>
      <c r="R999">
        <v>0</v>
      </c>
      <c r="S999">
        <v>6</v>
      </c>
      <c r="T999" t="s">
        <v>74</v>
      </c>
      <c r="U999" t="s">
        <v>105</v>
      </c>
      <c r="V999" t="s">
        <v>69</v>
      </c>
      <c r="W999" s="3">
        <v>45362</v>
      </c>
      <c r="X999" t="b">
        <v>1</v>
      </c>
      <c r="Y999" t="b">
        <v>1</v>
      </c>
      <c r="Z999" t="s">
        <v>82</v>
      </c>
      <c r="AA999" t="s">
        <v>97</v>
      </c>
      <c r="AB999">
        <v>9</v>
      </c>
      <c r="AO999" t="str">
        <f t="shared" si="54"/>
        <v>26-40</v>
      </c>
      <c r="BD999">
        <v>10</v>
      </c>
      <c r="BF999" cm="1">
        <f t="array" ref="BF999">CORREL(J999:J1999,S999:S1999)</f>
        <v>0.485826548176963</v>
      </c>
      <c r="BH999">
        <v>6</v>
      </c>
      <c r="BI999">
        <f>K999/S999</f>
        <v>1.66666666666667</v>
      </c>
      <c r="BJ999">
        <f t="shared" si="53"/>
        <v>3.6</v>
      </c>
    </row>
    <row r="1000" spans="1:62">
      <c r="A1000" s="1">
        <v>530912176</v>
      </c>
      <c r="B1000">
        <v>21</v>
      </c>
      <c r="C1000" t="s">
        <v>59</v>
      </c>
      <c r="D1000" t="s">
        <v>74</v>
      </c>
      <c r="E1000" t="s">
        <v>98</v>
      </c>
      <c r="F1000" t="s">
        <v>62</v>
      </c>
      <c r="G1000" t="s">
        <v>60</v>
      </c>
      <c r="H1000" t="s">
        <v>1196</v>
      </c>
      <c r="I1000" t="s">
        <v>135</v>
      </c>
      <c r="J1000" s="2">
        <v>106.15</v>
      </c>
      <c r="K1000">
        <v>12</v>
      </c>
      <c r="L1000" t="s">
        <v>78</v>
      </c>
      <c r="M1000">
        <v>4</v>
      </c>
      <c r="N1000">
        <v>4</v>
      </c>
      <c r="O1000">
        <v>0.3</v>
      </c>
      <c r="P1000" t="s">
        <v>84</v>
      </c>
      <c r="Q1000" t="s">
        <v>67</v>
      </c>
      <c r="R1000">
        <v>0</v>
      </c>
      <c r="S1000">
        <v>5</v>
      </c>
      <c r="T1000" t="s">
        <v>79</v>
      </c>
      <c r="U1000" t="s">
        <v>105</v>
      </c>
      <c r="V1000" t="s">
        <v>110</v>
      </c>
      <c r="W1000" s="3">
        <v>45381</v>
      </c>
      <c r="X1000" t="b">
        <v>1</v>
      </c>
      <c r="Y1000" t="b">
        <v>1</v>
      </c>
      <c r="Z1000" t="s">
        <v>92</v>
      </c>
      <c r="AA1000" t="s">
        <v>83</v>
      </c>
      <c r="AB1000">
        <v>8</v>
      </c>
      <c r="AO1000" t="str">
        <f t="shared" si="54"/>
        <v>18-25</v>
      </c>
      <c r="BD1000">
        <v>12</v>
      </c>
      <c r="BF1000" cm="1">
        <f t="array" ref="BF1000">CORREL(J1000:J2000,S1000:S2000)</f>
        <v>1</v>
      </c>
      <c r="BH1000">
        <v>5</v>
      </c>
      <c r="BI1000">
        <f>K1000/S1000</f>
        <v>2.4</v>
      </c>
      <c r="BJ1000">
        <f t="shared" si="53"/>
        <v>2.08333333333333</v>
      </c>
    </row>
    <row r="1001" spans="1:62">
      <c r="A1001" s="1">
        <v>482039118</v>
      </c>
      <c r="B1001">
        <v>21</v>
      </c>
      <c r="C1001" t="s">
        <v>59</v>
      </c>
      <c r="D1001" t="s">
        <v>60</v>
      </c>
      <c r="E1001" t="s">
        <v>86</v>
      </c>
      <c r="F1001" t="s">
        <v>75</v>
      </c>
      <c r="G1001" t="s">
        <v>74</v>
      </c>
      <c r="H1001" t="s">
        <v>1197</v>
      </c>
      <c r="I1001" t="s">
        <v>122</v>
      </c>
      <c r="J1001" s="2">
        <v>378.47</v>
      </c>
      <c r="K1001">
        <v>6</v>
      </c>
      <c r="L1001" t="s">
        <v>85</v>
      </c>
      <c r="M1001">
        <v>5</v>
      </c>
      <c r="N1001">
        <v>2</v>
      </c>
      <c r="O1001">
        <v>0.33</v>
      </c>
      <c r="P1001" t="s">
        <v>79</v>
      </c>
      <c r="Q1001" t="s">
        <v>80</v>
      </c>
      <c r="R1001">
        <v>1</v>
      </c>
      <c r="S1001">
        <v>10</v>
      </c>
      <c r="T1001" t="s">
        <v>84</v>
      </c>
      <c r="U1001" t="s">
        <v>68</v>
      </c>
      <c r="V1001" t="s">
        <v>96</v>
      </c>
      <c r="W1001" s="3">
        <v>45634</v>
      </c>
      <c r="X1001" t="b">
        <v>0</v>
      </c>
      <c r="Y1001" t="b">
        <v>0</v>
      </c>
      <c r="Z1001" t="s">
        <v>102</v>
      </c>
      <c r="AA1001" t="s">
        <v>97</v>
      </c>
      <c r="AB1001">
        <v>2</v>
      </c>
      <c r="AO1001" t="str">
        <f t="shared" si="54"/>
        <v>18-25</v>
      </c>
      <c r="BD1001">
        <v>6</v>
      </c>
      <c r="BH1001">
        <v>10</v>
      </c>
      <c r="BI1001">
        <f>K1001/S1001</f>
        <v>0.6</v>
      </c>
      <c r="BJ1001">
        <f t="shared" si="53"/>
        <v>16.6666666666667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Ecommerce_Consumer_Behavior_Ana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Rumanty Debnath</cp:lastModifiedBy>
  <dcterms:created xsi:type="dcterms:W3CDTF">2026-10-15T14:01:00Z</dcterms:created>
  <dcterms:modified xsi:type="dcterms:W3CDTF">2026-10-21T15:20:37Z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2BD9E38959FE4D73A894D6E75070454F_13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